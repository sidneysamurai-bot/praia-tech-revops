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portunities" sheetId="1" state="visible" r:id="rId3"/>
    <sheet name="Leads" sheetId="2" state="visible" r:id="rId4"/>
    <sheet name="Reps" sheetId="3" state="visible" r:id="rId5"/>
    <sheet name="Targets" sheetId="4" state="visible" r:id="rId6"/>
    <sheet name="Dash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9" authorId="0">
      <text>
        <r>
          <rPr>
            <sz val="10"/>
            <rFont val="Arial"/>
            <family val="2"/>
          </rPr>
          <t xml:space="preserve">Corrigido: aponta para Targets!B6 (Average Deal Size = 10000).
No rascunho original esta fórmula apontava para Targets!B5 (Lead to Opportunity Conversion), o que duplicava a meta da linha 10 e comparava Average Deal Size (um valor em €) com 60% — erro de referência entre linhas.</t>
        </r>
      </text>
    </comment>
  </commentList>
</comments>
</file>

<file path=xl/sharedStrings.xml><?xml version="1.0" encoding="utf-8"?>
<sst xmlns="http://schemas.openxmlformats.org/spreadsheetml/2006/main" count="508" uniqueCount="146">
  <si>
    <t xml:space="preserve">Opportunity ID</t>
  </si>
  <si>
    <t xml:space="preserve">Lead Source</t>
  </si>
  <si>
    <t xml:space="preserve">Stage</t>
  </si>
  <si>
    <t xml:space="preserve">Deal Value</t>
  </si>
  <si>
    <t xml:space="preserve">Probability</t>
  </si>
  <si>
    <t xml:space="preserve">Created Date</t>
  </si>
  <si>
    <t xml:space="preserve">Close Date</t>
  </si>
  <si>
    <t xml:space="preserve">Owner</t>
  </si>
  <si>
    <t xml:space="preserve">Status</t>
  </si>
  <si>
    <t xml:space="preserve">Weighted Pipeline</t>
  </si>
  <si>
    <t xml:space="preserve">Days to Close</t>
  </si>
  <si>
    <t xml:space="preserve">OP-001</t>
  </si>
  <si>
    <t xml:space="preserve">LinkedIn</t>
  </si>
  <si>
    <t xml:space="preserve">Qualified</t>
  </si>
  <si>
    <t xml:space="preserve">Sidney</t>
  </si>
  <si>
    <t xml:space="preserve">Open</t>
  </si>
  <si>
    <t xml:space="preserve">OP-002</t>
  </si>
  <si>
    <t xml:space="preserve">Referral</t>
  </si>
  <si>
    <t xml:space="preserve">Proposal</t>
  </si>
  <si>
    <t xml:space="preserve">Ana</t>
  </si>
  <si>
    <t xml:space="preserve">OP-003</t>
  </si>
  <si>
    <t xml:space="preserve">Website</t>
  </si>
  <si>
    <t xml:space="preserve">Negotiation</t>
  </si>
  <si>
    <t xml:space="preserve">Carlos</t>
  </si>
  <si>
    <t xml:space="preserve">OP-004</t>
  </si>
  <si>
    <t xml:space="preserve">Closed Won</t>
  </si>
  <si>
    <t xml:space="preserve">Won</t>
  </si>
  <si>
    <t xml:space="preserve">OP-005</t>
  </si>
  <si>
    <t xml:space="preserve">Cold Outreach</t>
  </si>
  <si>
    <t xml:space="preserve">Closed Lost</t>
  </si>
  <si>
    <t xml:space="preserve">Lost</t>
  </si>
  <si>
    <t xml:space="preserve">OP-006</t>
  </si>
  <si>
    <t xml:space="preserve">Discovery</t>
  </si>
  <si>
    <t xml:space="preserve">OP-007</t>
  </si>
  <si>
    <t xml:space="preserve">OP-008</t>
  </si>
  <si>
    <t xml:space="preserve">OP-009</t>
  </si>
  <si>
    <t xml:space="preserve">OP-010</t>
  </si>
  <si>
    <t xml:space="preserve">OP-011</t>
  </si>
  <si>
    <t xml:space="preserve">OP-012</t>
  </si>
  <si>
    <t xml:space="preserve">OP-013</t>
  </si>
  <si>
    <t xml:space="preserve">OP-014</t>
  </si>
  <si>
    <t xml:space="preserve">OP-015</t>
  </si>
  <si>
    <t xml:space="preserve">OP-016</t>
  </si>
  <si>
    <t xml:space="preserve">OP-017</t>
  </si>
  <si>
    <t xml:space="preserve">OP-018</t>
  </si>
  <si>
    <t xml:space="preserve">OP-019</t>
  </si>
  <si>
    <t xml:space="preserve">OP-020</t>
  </si>
  <si>
    <t xml:space="preserve">OP-021</t>
  </si>
  <si>
    <t xml:space="preserve">OP-022</t>
  </si>
  <si>
    <t xml:space="preserve">OP-023</t>
  </si>
  <si>
    <t xml:space="preserve">OP-024</t>
  </si>
  <si>
    <t xml:space="preserve">OP-025</t>
  </si>
  <si>
    <t xml:space="preserve">OP-026</t>
  </si>
  <si>
    <t xml:space="preserve">OP-027</t>
  </si>
  <si>
    <t xml:space="preserve">OP-028</t>
  </si>
  <si>
    <t xml:space="preserve">OP-029</t>
  </si>
  <si>
    <t xml:space="preserve">OP-030</t>
  </si>
  <si>
    <t xml:space="preserve">OP-031</t>
  </si>
  <si>
    <t xml:space="preserve">OP-032</t>
  </si>
  <si>
    <t xml:space="preserve">OP-033</t>
  </si>
  <si>
    <t xml:space="preserve">OP-034</t>
  </si>
  <si>
    <t xml:space="preserve">OP-035</t>
  </si>
  <si>
    <t xml:space="preserve">OP-036</t>
  </si>
  <si>
    <t xml:space="preserve">OP-037</t>
  </si>
  <si>
    <t xml:space="preserve">OP-038</t>
  </si>
  <si>
    <t xml:space="preserve">OP-039</t>
  </si>
  <si>
    <t xml:space="preserve">OP-040</t>
  </si>
  <si>
    <t xml:space="preserve">Lead ID</t>
  </si>
  <si>
    <t xml:space="preserve">Lead Date</t>
  </si>
  <si>
    <t xml:space="preserve">Lead Status</t>
  </si>
  <si>
    <t xml:space="preserve">Converted to Opportunity</t>
  </si>
  <si>
    <t xml:space="preserve">L-001</t>
  </si>
  <si>
    <t xml:space="preserve">Yes</t>
  </si>
  <si>
    <t xml:space="preserve">L-002</t>
  </si>
  <si>
    <t xml:space="preserve">L-003</t>
  </si>
  <si>
    <t xml:space="preserve">L-004</t>
  </si>
  <si>
    <t xml:space="preserve">Contacted</t>
  </si>
  <si>
    <t xml:space="preserve">No</t>
  </si>
  <si>
    <t xml:space="preserve">L-005</t>
  </si>
  <si>
    <t xml:space="preserve">L-006</t>
  </si>
  <si>
    <t xml:space="preserve">L-007</t>
  </si>
  <si>
    <t xml:space="preserve">L-008</t>
  </si>
  <si>
    <t xml:space="preserve">L-009</t>
  </si>
  <si>
    <t xml:space="preserve">L-010</t>
  </si>
  <si>
    <t xml:space="preserve">L-011</t>
  </si>
  <si>
    <t xml:space="preserve">L-012</t>
  </si>
  <si>
    <t xml:space="preserve">L-013</t>
  </si>
  <si>
    <t xml:space="preserve">L-014</t>
  </si>
  <si>
    <t xml:space="preserve">L-015</t>
  </si>
  <si>
    <t xml:space="preserve">L-016</t>
  </si>
  <si>
    <t xml:space="preserve">L-017</t>
  </si>
  <si>
    <t xml:space="preserve">L-018</t>
  </si>
  <si>
    <t xml:space="preserve">L-019</t>
  </si>
  <si>
    <t xml:space="preserve">L-020</t>
  </si>
  <si>
    <t xml:space="preserve">L-021</t>
  </si>
  <si>
    <t xml:space="preserve">L-022</t>
  </si>
  <si>
    <t xml:space="preserve">L-023</t>
  </si>
  <si>
    <t xml:space="preserve">L-024</t>
  </si>
  <si>
    <t xml:space="preserve">L-025</t>
  </si>
  <si>
    <t xml:space="preserve">L-026</t>
  </si>
  <si>
    <t xml:space="preserve">L-027</t>
  </si>
  <si>
    <t xml:space="preserve">L-028</t>
  </si>
  <si>
    <t xml:space="preserve">L-029</t>
  </si>
  <si>
    <t xml:space="preserve">L-030</t>
  </si>
  <si>
    <t xml:space="preserve">L-031</t>
  </si>
  <si>
    <t xml:space="preserve">L-032</t>
  </si>
  <si>
    <t xml:space="preserve">L-033</t>
  </si>
  <si>
    <t xml:space="preserve">L-034</t>
  </si>
  <si>
    <t xml:space="preserve">L-035</t>
  </si>
  <si>
    <t xml:space="preserve">L-036</t>
  </si>
  <si>
    <t xml:space="preserve">L-037</t>
  </si>
  <si>
    <t xml:space="preserve">L-038</t>
  </si>
  <si>
    <t xml:space="preserve">L-039</t>
  </si>
  <si>
    <t xml:space="preserve">L-040</t>
  </si>
  <si>
    <t xml:space="preserve">L-041</t>
  </si>
  <si>
    <t xml:space="preserve">L-042</t>
  </si>
  <si>
    <t xml:space="preserve">L-043</t>
  </si>
  <si>
    <t xml:space="preserve">L-044</t>
  </si>
  <si>
    <t xml:space="preserve">L-045</t>
  </si>
  <si>
    <t xml:space="preserve">Rep</t>
  </si>
  <si>
    <t xml:space="preserve">Role</t>
  </si>
  <si>
    <t xml:space="preserve">Monthly Target</t>
  </si>
  <si>
    <t xml:space="preserve">Region</t>
  </si>
  <si>
    <t xml:space="preserve">Active</t>
  </si>
  <si>
    <t xml:space="preserve">Sales Manager</t>
  </si>
  <si>
    <t xml:space="preserve">Angola</t>
  </si>
  <si>
    <t xml:space="preserve">Account Executive</t>
  </si>
  <si>
    <t xml:space="preserve">Metric</t>
  </si>
  <si>
    <t xml:space="preserve">Target</t>
  </si>
  <si>
    <t xml:space="preserve">Monthly Revenue</t>
  </si>
  <si>
    <t xml:space="preserve">Pipeline Coverage</t>
  </si>
  <si>
    <t xml:space="preserve">Win Rate</t>
  </si>
  <si>
    <t xml:space="preserve">Lead to Opportunity Conversion</t>
  </si>
  <si>
    <t xml:space="preserve">Average Deal Size</t>
  </si>
  <si>
    <t xml:space="preserve">PRAIA TECH SOLUTIONS — REVOPS DASHBOARD</t>
  </si>
  <si>
    <t xml:space="preserve">Value</t>
  </si>
  <si>
    <t xml:space="preserve">Total Opportunities</t>
  </si>
  <si>
    <t xml:space="preserve">Total Pipeline</t>
  </si>
  <si>
    <t xml:space="preserve">Closed Won Revenue</t>
  </si>
  <si>
    <t xml:space="preserve">Closed Lost Revenue</t>
  </si>
  <si>
    <t xml:space="preserve">Lead → Opportunity Conversion</t>
  </si>
  <si>
    <t xml:space="preserve">Sales Rep</t>
  </si>
  <si>
    <t xml:space="preserve">Pipeline</t>
  </si>
  <si>
    <t xml:space="preserve">Opportunities</t>
  </si>
  <si>
    <t xml:space="preserve">Leads</t>
  </si>
  <si>
    <t xml:space="preserve">Conversion Rate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</si>
</sst>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0%"/>
    <numFmt numFmtId="167" formatCode="yyyy\-mm\-dd"/>
    <numFmt numFmtId="168" formatCode="0\x"/>
    <numFmt numFmtId="169" formatCode="0.0%"/>
    <numFmt numFmtId="170" formatCode="General"/>
    <numFmt numFmtId="171" formatCode="0.0\x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3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7"/>
    <col collapsed="false" customWidth="true" hidden="false" outlineLevel="0" max="11" min="11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13</v>
      </c>
      <c r="D2" s="3" t="n">
        <v>5000</v>
      </c>
      <c r="E2" s="4" t="n">
        <v>0.3</v>
      </c>
      <c r="F2" s="5" t="n">
        <v>46235</v>
      </c>
      <c r="G2" s="5" t="n">
        <v>46262</v>
      </c>
      <c r="H2" s="2" t="s">
        <v>14</v>
      </c>
      <c r="I2" s="2" t="s">
        <v>15</v>
      </c>
      <c r="J2" s="3" t="n">
        <f aca="false">D2*E2</f>
        <v>1500</v>
      </c>
      <c r="K2" s="2" t="n">
        <f aca="false">G2-F2</f>
        <v>27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3" t="n">
        <v>8000</v>
      </c>
      <c r="E3" s="4" t="n">
        <v>0.6</v>
      </c>
      <c r="F3" s="5" t="n">
        <v>46236</v>
      </c>
      <c r="G3" s="5" t="n">
        <v>46259</v>
      </c>
      <c r="H3" s="2" t="s">
        <v>19</v>
      </c>
      <c r="I3" s="2" t="s">
        <v>15</v>
      </c>
      <c r="J3" s="3" t="n">
        <f aca="false">D3*E3</f>
        <v>4800</v>
      </c>
      <c r="K3" s="2" t="n">
        <f aca="false">G3-F3</f>
        <v>23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22</v>
      </c>
      <c r="D4" s="3" t="n">
        <v>12000</v>
      </c>
      <c r="E4" s="4" t="n">
        <v>0.8</v>
      </c>
      <c r="F4" s="5" t="n">
        <v>46237</v>
      </c>
      <c r="G4" s="5" t="n">
        <v>46256</v>
      </c>
      <c r="H4" s="2" t="s">
        <v>23</v>
      </c>
      <c r="I4" s="2" t="s">
        <v>15</v>
      </c>
      <c r="J4" s="3" t="n">
        <f aca="false">D4*E4</f>
        <v>9600</v>
      </c>
      <c r="K4" s="2" t="n">
        <f aca="false">G4-F4</f>
        <v>19</v>
      </c>
    </row>
    <row r="5" customFormat="false" ht="15" hidden="false" customHeight="false" outlineLevel="0" collapsed="false">
      <c r="A5" s="2" t="s">
        <v>24</v>
      </c>
      <c r="B5" s="2" t="s">
        <v>12</v>
      </c>
      <c r="C5" s="2" t="s">
        <v>25</v>
      </c>
      <c r="D5" s="3" t="n">
        <v>6000</v>
      </c>
      <c r="E5" s="4" t="n">
        <v>1</v>
      </c>
      <c r="F5" s="5" t="n">
        <v>46238</v>
      </c>
      <c r="G5" s="5" t="n">
        <v>46249</v>
      </c>
      <c r="H5" s="2" t="s">
        <v>14</v>
      </c>
      <c r="I5" s="2" t="s">
        <v>26</v>
      </c>
      <c r="J5" s="3" t="n">
        <f aca="false">D5*E5</f>
        <v>6000</v>
      </c>
      <c r="K5" s="2" t="n">
        <f aca="false">G5-F5</f>
        <v>11</v>
      </c>
    </row>
    <row r="6" customFormat="false" ht="15" hidden="false" customHeight="false" outlineLevel="0" collapsed="false">
      <c r="A6" s="2" t="s">
        <v>27</v>
      </c>
      <c r="B6" s="2" t="s">
        <v>28</v>
      </c>
      <c r="C6" s="2" t="s">
        <v>29</v>
      </c>
      <c r="D6" s="3" t="n">
        <v>4000</v>
      </c>
      <c r="E6" s="4" t="n">
        <v>0</v>
      </c>
      <c r="F6" s="5" t="n">
        <v>46239</v>
      </c>
      <c r="G6" s="5" t="n">
        <v>46246</v>
      </c>
      <c r="H6" s="2" t="s">
        <v>19</v>
      </c>
      <c r="I6" s="2" t="s">
        <v>30</v>
      </c>
      <c r="J6" s="3" t="n">
        <f aca="false">D6*E6</f>
        <v>0</v>
      </c>
      <c r="K6" s="2" t="n">
        <f aca="false">G6-F6</f>
        <v>7</v>
      </c>
    </row>
    <row r="7" customFormat="false" ht="15" hidden="false" customHeight="false" outlineLevel="0" collapsed="false">
      <c r="A7" s="2" t="s">
        <v>31</v>
      </c>
      <c r="B7" s="2" t="s">
        <v>17</v>
      </c>
      <c r="C7" s="2" t="s">
        <v>32</v>
      </c>
      <c r="D7" s="3" t="n">
        <v>7000</v>
      </c>
      <c r="E7" s="4" t="n">
        <v>0.2</v>
      </c>
      <c r="F7" s="5" t="n">
        <v>46240</v>
      </c>
      <c r="G7" s="5" t="n">
        <v>46267</v>
      </c>
      <c r="H7" s="2" t="s">
        <v>23</v>
      </c>
      <c r="I7" s="2" t="s">
        <v>15</v>
      </c>
      <c r="J7" s="3" t="n">
        <f aca="false">D7*E7</f>
        <v>1400</v>
      </c>
      <c r="K7" s="2" t="n">
        <f aca="false">G7-F7</f>
        <v>27</v>
      </c>
    </row>
    <row r="8" customFormat="false" ht="15" hidden="false" customHeight="false" outlineLevel="0" collapsed="false">
      <c r="A8" s="2" t="s">
        <v>33</v>
      </c>
      <c r="B8" s="2" t="s">
        <v>21</v>
      </c>
      <c r="C8" s="2" t="s">
        <v>13</v>
      </c>
      <c r="D8" s="3" t="n">
        <v>9500</v>
      </c>
      <c r="E8" s="4" t="n">
        <v>0.3</v>
      </c>
      <c r="F8" s="5" t="n">
        <v>46241</v>
      </c>
      <c r="G8" s="5" t="n">
        <v>46264</v>
      </c>
      <c r="H8" s="2" t="s">
        <v>14</v>
      </c>
      <c r="I8" s="2" t="s">
        <v>15</v>
      </c>
      <c r="J8" s="3" t="n">
        <f aca="false">D8*E8</f>
        <v>2850</v>
      </c>
      <c r="K8" s="2" t="n">
        <f aca="false">G8-F8</f>
        <v>23</v>
      </c>
    </row>
    <row r="9" customFormat="false" ht="15" hidden="false" customHeight="false" outlineLevel="0" collapsed="false">
      <c r="A9" s="2" t="s">
        <v>34</v>
      </c>
      <c r="B9" s="2" t="s">
        <v>12</v>
      </c>
      <c r="C9" s="2" t="s">
        <v>18</v>
      </c>
      <c r="D9" s="3" t="n">
        <v>11000</v>
      </c>
      <c r="E9" s="4" t="n">
        <v>0.6</v>
      </c>
      <c r="F9" s="5" t="n">
        <v>46242</v>
      </c>
      <c r="G9" s="5" t="n">
        <v>46261</v>
      </c>
      <c r="H9" s="2" t="s">
        <v>19</v>
      </c>
      <c r="I9" s="2" t="s">
        <v>15</v>
      </c>
      <c r="J9" s="3" t="n">
        <f aca="false">D9*E9</f>
        <v>6600</v>
      </c>
      <c r="K9" s="2" t="n">
        <f aca="false">G9-F9</f>
        <v>19</v>
      </c>
    </row>
    <row r="10" customFormat="false" ht="15" hidden="false" customHeight="false" outlineLevel="0" collapsed="false">
      <c r="A10" s="2" t="s">
        <v>35</v>
      </c>
      <c r="B10" s="2" t="s">
        <v>28</v>
      </c>
      <c r="C10" s="2" t="s">
        <v>22</v>
      </c>
      <c r="D10" s="3" t="n">
        <v>15000</v>
      </c>
      <c r="E10" s="4" t="n">
        <v>0.8</v>
      </c>
      <c r="F10" s="5" t="n">
        <v>46243</v>
      </c>
      <c r="G10" s="5" t="n">
        <v>46263</v>
      </c>
      <c r="H10" s="2" t="s">
        <v>23</v>
      </c>
      <c r="I10" s="2" t="s">
        <v>15</v>
      </c>
      <c r="J10" s="3" t="n">
        <f aca="false">D10*E10</f>
        <v>12000</v>
      </c>
      <c r="K10" s="2" t="n">
        <f aca="false">G10-F10</f>
        <v>20</v>
      </c>
    </row>
    <row r="11" customFormat="false" ht="15" hidden="false" customHeight="false" outlineLevel="0" collapsed="false">
      <c r="A11" s="2" t="s">
        <v>36</v>
      </c>
      <c r="B11" s="2" t="s">
        <v>17</v>
      </c>
      <c r="C11" s="2" t="s">
        <v>25</v>
      </c>
      <c r="D11" s="3" t="n">
        <v>7500</v>
      </c>
      <c r="E11" s="4" t="n">
        <v>1</v>
      </c>
      <c r="F11" s="5" t="n">
        <v>46244</v>
      </c>
      <c r="G11" s="5" t="n">
        <v>46252</v>
      </c>
      <c r="H11" s="2" t="s">
        <v>14</v>
      </c>
      <c r="I11" s="2" t="s">
        <v>26</v>
      </c>
      <c r="J11" s="3" t="n">
        <f aca="false">D11*E11</f>
        <v>7500</v>
      </c>
      <c r="K11" s="2" t="n">
        <f aca="false">G11-F11</f>
        <v>8</v>
      </c>
    </row>
    <row r="12" customFormat="false" ht="15" hidden="false" customHeight="false" outlineLevel="0" collapsed="false">
      <c r="A12" s="2" t="s">
        <v>37</v>
      </c>
      <c r="B12" s="2" t="s">
        <v>21</v>
      </c>
      <c r="C12" s="2" t="s">
        <v>32</v>
      </c>
      <c r="D12" s="3" t="n">
        <v>4500</v>
      </c>
      <c r="E12" s="4" t="n">
        <v>0.2</v>
      </c>
      <c r="F12" s="5" t="n">
        <v>46244</v>
      </c>
      <c r="G12" s="5" t="n">
        <v>46270</v>
      </c>
      <c r="H12" s="2" t="s">
        <v>19</v>
      </c>
      <c r="I12" s="2" t="s">
        <v>15</v>
      </c>
      <c r="J12" s="3" t="n">
        <f aca="false">D12*E12</f>
        <v>900</v>
      </c>
      <c r="K12" s="2" t="n">
        <f aca="false">G12-F12</f>
        <v>26</v>
      </c>
    </row>
    <row r="13" customFormat="false" ht="15" hidden="false" customHeight="false" outlineLevel="0" collapsed="false">
      <c r="A13" s="2" t="s">
        <v>38</v>
      </c>
      <c r="B13" s="2" t="s">
        <v>12</v>
      </c>
      <c r="C13" s="2" t="s">
        <v>13</v>
      </c>
      <c r="D13" s="3" t="n">
        <v>13000</v>
      </c>
      <c r="E13" s="4" t="n">
        <v>0.3</v>
      </c>
      <c r="F13" s="5" t="n">
        <v>46245</v>
      </c>
      <c r="G13" s="5" t="n">
        <v>46266</v>
      </c>
      <c r="H13" s="2" t="s">
        <v>23</v>
      </c>
      <c r="I13" s="2" t="s">
        <v>15</v>
      </c>
      <c r="J13" s="3" t="n">
        <f aca="false">D13*E13</f>
        <v>3900</v>
      </c>
      <c r="K13" s="2" t="n">
        <f aca="false">G13-F13</f>
        <v>21</v>
      </c>
    </row>
    <row r="14" customFormat="false" ht="15" hidden="false" customHeight="false" outlineLevel="0" collapsed="false">
      <c r="A14" s="2" t="s">
        <v>39</v>
      </c>
      <c r="B14" s="2" t="s">
        <v>17</v>
      </c>
      <c r="C14" s="2" t="s">
        <v>18</v>
      </c>
      <c r="D14" s="3" t="n">
        <v>9000</v>
      </c>
      <c r="E14" s="4" t="n">
        <v>0.6</v>
      </c>
      <c r="F14" s="5" t="n">
        <v>46245</v>
      </c>
      <c r="G14" s="5" t="n">
        <v>46260</v>
      </c>
      <c r="H14" s="2" t="s">
        <v>14</v>
      </c>
      <c r="I14" s="2" t="s">
        <v>15</v>
      </c>
      <c r="J14" s="3" t="n">
        <f aca="false">D14*E14</f>
        <v>5400</v>
      </c>
      <c r="K14" s="2" t="n">
        <f aca="false">G14-F14</f>
        <v>15</v>
      </c>
    </row>
    <row r="15" customFormat="false" ht="15" hidden="false" customHeight="false" outlineLevel="0" collapsed="false">
      <c r="A15" s="2" t="s">
        <v>40</v>
      </c>
      <c r="B15" s="2" t="s">
        <v>28</v>
      </c>
      <c r="C15" s="2" t="s">
        <v>22</v>
      </c>
      <c r="D15" s="3" t="n">
        <v>18000</v>
      </c>
      <c r="E15" s="4" t="n">
        <v>0.8</v>
      </c>
      <c r="F15" s="5" t="n">
        <v>46246</v>
      </c>
      <c r="G15" s="5" t="n">
        <v>46265</v>
      </c>
      <c r="H15" s="2" t="s">
        <v>19</v>
      </c>
      <c r="I15" s="2" t="s">
        <v>15</v>
      </c>
      <c r="J15" s="3" t="n">
        <f aca="false">D15*E15</f>
        <v>14400</v>
      </c>
      <c r="K15" s="2" t="n">
        <f aca="false">G15-F15</f>
        <v>19</v>
      </c>
    </row>
    <row r="16" customFormat="false" ht="15" hidden="false" customHeight="false" outlineLevel="0" collapsed="false">
      <c r="A16" s="2" t="s">
        <v>41</v>
      </c>
      <c r="B16" s="2" t="s">
        <v>21</v>
      </c>
      <c r="C16" s="2" t="s">
        <v>25</v>
      </c>
      <c r="D16" s="3" t="n">
        <v>10000</v>
      </c>
      <c r="E16" s="4" t="n">
        <v>1</v>
      </c>
      <c r="F16" s="5" t="n">
        <v>46246</v>
      </c>
      <c r="G16" s="5" t="n">
        <v>46253</v>
      </c>
      <c r="H16" s="2" t="s">
        <v>23</v>
      </c>
      <c r="I16" s="2" t="s">
        <v>26</v>
      </c>
      <c r="J16" s="3" t="n">
        <f aca="false">D16*E16</f>
        <v>10000</v>
      </c>
      <c r="K16" s="2" t="n">
        <f aca="false">G16-F16</f>
        <v>7</v>
      </c>
    </row>
    <row r="17" customFormat="false" ht="15" hidden="false" customHeight="false" outlineLevel="0" collapsed="false">
      <c r="A17" s="2" t="s">
        <v>42</v>
      </c>
      <c r="B17" s="2" t="s">
        <v>12</v>
      </c>
      <c r="C17" s="2" t="s">
        <v>32</v>
      </c>
      <c r="D17" s="3" t="n">
        <v>5500</v>
      </c>
      <c r="E17" s="4" t="n">
        <v>0.2</v>
      </c>
      <c r="F17" s="5" t="n">
        <v>46247</v>
      </c>
      <c r="G17" s="5" t="n">
        <v>46273</v>
      </c>
      <c r="H17" s="2" t="s">
        <v>14</v>
      </c>
      <c r="I17" s="2" t="s">
        <v>15</v>
      </c>
      <c r="J17" s="3" t="n">
        <f aca="false">D17*E17</f>
        <v>1100</v>
      </c>
      <c r="K17" s="2" t="n">
        <f aca="false">G17-F17</f>
        <v>26</v>
      </c>
    </row>
    <row r="18" customFormat="false" ht="15" hidden="false" customHeight="false" outlineLevel="0" collapsed="false">
      <c r="A18" s="2" t="s">
        <v>43</v>
      </c>
      <c r="B18" s="2" t="s">
        <v>17</v>
      </c>
      <c r="C18" s="2" t="s">
        <v>13</v>
      </c>
      <c r="D18" s="3" t="n">
        <v>8500</v>
      </c>
      <c r="E18" s="4" t="n">
        <v>0.3</v>
      </c>
      <c r="F18" s="5" t="n">
        <v>46247</v>
      </c>
      <c r="G18" s="5" t="n">
        <v>46268</v>
      </c>
      <c r="H18" s="2" t="s">
        <v>19</v>
      </c>
      <c r="I18" s="2" t="s">
        <v>15</v>
      </c>
      <c r="J18" s="3" t="n">
        <f aca="false">D18*E18</f>
        <v>2550</v>
      </c>
      <c r="K18" s="2" t="n">
        <f aca="false">G18-F18</f>
        <v>21</v>
      </c>
    </row>
    <row r="19" customFormat="false" ht="15" hidden="false" customHeight="false" outlineLevel="0" collapsed="false">
      <c r="A19" s="2" t="s">
        <v>44</v>
      </c>
      <c r="B19" s="2" t="s">
        <v>21</v>
      </c>
      <c r="C19" s="2" t="s">
        <v>18</v>
      </c>
      <c r="D19" s="3" t="n">
        <v>14000</v>
      </c>
      <c r="E19" s="4" t="n">
        <v>0.6</v>
      </c>
      <c r="F19" s="5" t="n">
        <v>46248</v>
      </c>
      <c r="G19" s="5" t="n">
        <v>46262</v>
      </c>
      <c r="H19" s="2" t="s">
        <v>23</v>
      </c>
      <c r="I19" s="2" t="s">
        <v>15</v>
      </c>
      <c r="J19" s="3" t="n">
        <f aca="false">D19*E19</f>
        <v>8400</v>
      </c>
      <c r="K19" s="2" t="n">
        <f aca="false">G19-F19</f>
        <v>14</v>
      </c>
    </row>
    <row r="20" customFormat="false" ht="15" hidden="false" customHeight="false" outlineLevel="0" collapsed="false">
      <c r="A20" s="2" t="s">
        <v>45</v>
      </c>
      <c r="B20" s="2" t="s">
        <v>28</v>
      </c>
      <c r="C20" s="2" t="s">
        <v>22</v>
      </c>
      <c r="D20" s="3" t="n">
        <v>16000</v>
      </c>
      <c r="E20" s="4" t="n">
        <v>0.8</v>
      </c>
      <c r="F20" s="5" t="n">
        <v>46248</v>
      </c>
      <c r="G20" s="5" t="n">
        <v>46269</v>
      </c>
      <c r="H20" s="2" t="s">
        <v>14</v>
      </c>
      <c r="I20" s="2" t="s">
        <v>15</v>
      </c>
      <c r="J20" s="3" t="n">
        <f aca="false">D20*E20</f>
        <v>12800</v>
      </c>
      <c r="K20" s="2" t="n">
        <f aca="false">G20-F20</f>
        <v>21</v>
      </c>
    </row>
    <row r="21" customFormat="false" ht="15" hidden="false" customHeight="false" outlineLevel="0" collapsed="false">
      <c r="A21" s="2" t="s">
        <v>46</v>
      </c>
      <c r="B21" s="2" t="s">
        <v>12</v>
      </c>
      <c r="C21" s="2" t="s">
        <v>29</v>
      </c>
      <c r="D21" s="3" t="n">
        <v>6500</v>
      </c>
      <c r="E21" s="4" t="n">
        <v>0</v>
      </c>
      <c r="F21" s="5" t="n">
        <v>46249</v>
      </c>
      <c r="G21" s="5" t="n">
        <v>46254</v>
      </c>
      <c r="H21" s="2" t="s">
        <v>19</v>
      </c>
      <c r="I21" s="2" t="s">
        <v>30</v>
      </c>
      <c r="J21" s="3" t="n">
        <f aca="false">D21*E21</f>
        <v>0</v>
      </c>
      <c r="K21" s="2" t="n">
        <f aca="false">G21-F21</f>
        <v>5</v>
      </c>
    </row>
    <row r="22" customFormat="false" ht="15" hidden="false" customHeight="false" outlineLevel="0" collapsed="false">
      <c r="A22" s="2" t="s">
        <v>47</v>
      </c>
      <c r="B22" s="2" t="s">
        <v>17</v>
      </c>
      <c r="C22" s="2" t="s">
        <v>32</v>
      </c>
      <c r="D22" s="3" t="n">
        <v>6000</v>
      </c>
      <c r="E22" s="4" t="n">
        <v>0.2</v>
      </c>
      <c r="F22" s="5" t="n">
        <v>46249</v>
      </c>
      <c r="G22" s="5" t="n">
        <v>46275</v>
      </c>
      <c r="H22" s="2" t="s">
        <v>23</v>
      </c>
      <c r="I22" s="2" t="s">
        <v>15</v>
      </c>
      <c r="J22" s="3" t="n">
        <f aca="false">D22*E22</f>
        <v>1200</v>
      </c>
      <c r="K22" s="2" t="n">
        <f aca="false">G22-F22</f>
        <v>26</v>
      </c>
    </row>
    <row r="23" customFormat="false" ht="15" hidden="false" customHeight="false" outlineLevel="0" collapsed="false">
      <c r="A23" s="2" t="s">
        <v>48</v>
      </c>
      <c r="B23" s="2" t="s">
        <v>21</v>
      </c>
      <c r="C23" s="2" t="s">
        <v>13</v>
      </c>
      <c r="D23" s="3" t="n">
        <v>10500</v>
      </c>
      <c r="E23" s="4" t="n">
        <v>0.3</v>
      </c>
      <c r="F23" s="5" t="n">
        <v>46250</v>
      </c>
      <c r="G23" s="5" t="n">
        <v>46271</v>
      </c>
      <c r="H23" s="2" t="s">
        <v>14</v>
      </c>
      <c r="I23" s="2" t="s">
        <v>15</v>
      </c>
      <c r="J23" s="3" t="n">
        <f aca="false">D23*E23</f>
        <v>3150</v>
      </c>
      <c r="K23" s="2" t="n">
        <f aca="false">G23-F23</f>
        <v>21</v>
      </c>
    </row>
    <row r="24" customFormat="false" ht="15" hidden="false" customHeight="false" outlineLevel="0" collapsed="false">
      <c r="A24" s="2" t="s">
        <v>49</v>
      </c>
      <c r="B24" s="2" t="s">
        <v>12</v>
      </c>
      <c r="C24" s="2" t="s">
        <v>18</v>
      </c>
      <c r="D24" s="3" t="n">
        <v>12500</v>
      </c>
      <c r="E24" s="4" t="n">
        <v>0.6</v>
      </c>
      <c r="F24" s="5" t="n">
        <v>46250</v>
      </c>
      <c r="G24" s="5" t="n">
        <v>46264</v>
      </c>
      <c r="H24" s="2" t="s">
        <v>19</v>
      </c>
      <c r="I24" s="2" t="s">
        <v>15</v>
      </c>
      <c r="J24" s="3" t="n">
        <f aca="false">D24*E24</f>
        <v>7500</v>
      </c>
      <c r="K24" s="2" t="n">
        <f aca="false">G24-F24</f>
        <v>14</v>
      </c>
    </row>
    <row r="25" customFormat="false" ht="15" hidden="false" customHeight="false" outlineLevel="0" collapsed="false">
      <c r="A25" s="2" t="s">
        <v>50</v>
      </c>
      <c r="B25" s="2" t="s">
        <v>17</v>
      </c>
      <c r="C25" s="2" t="s">
        <v>22</v>
      </c>
      <c r="D25" s="3" t="n">
        <v>20000</v>
      </c>
      <c r="E25" s="4" t="n">
        <v>0.8</v>
      </c>
      <c r="F25" s="5" t="n">
        <v>46251</v>
      </c>
      <c r="G25" s="5" t="n">
        <v>46267</v>
      </c>
      <c r="H25" s="2" t="s">
        <v>23</v>
      </c>
      <c r="I25" s="2" t="s">
        <v>15</v>
      </c>
      <c r="J25" s="3" t="n">
        <f aca="false">D25*E25</f>
        <v>16000</v>
      </c>
      <c r="K25" s="2" t="n">
        <f aca="false">G25-F25</f>
        <v>16</v>
      </c>
    </row>
    <row r="26" customFormat="false" ht="15" hidden="false" customHeight="false" outlineLevel="0" collapsed="false">
      <c r="A26" s="2" t="s">
        <v>51</v>
      </c>
      <c r="B26" s="2" t="s">
        <v>28</v>
      </c>
      <c r="C26" s="2" t="s">
        <v>25</v>
      </c>
      <c r="D26" s="3" t="n">
        <v>8500</v>
      </c>
      <c r="E26" s="4" t="n">
        <v>1</v>
      </c>
      <c r="F26" s="5" t="n">
        <v>46251</v>
      </c>
      <c r="G26" s="5" t="n">
        <v>46254</v>
      </c>
      <c r="H26" s="2" t="s">
        <v>14</v>
      </c>
      <c r="I26" s="2" t="s">
        <v>26</v>
      </c>
      <c r="J26" s="3" t="n">
        <f aca="false">D26*E26</f>
        <v>8500</v>
      </c>
      <c r="K26" s="2" t="n">
        <f aca="false">G26-F26</f>
        <v>3</v>
      </c>
    </row>
    <row r="27" customFormat="false" ht="15" hidden="false" customHeight="false" outlineLevel="0" collapsed="false">
      <c r="A27" s="2" t="s">
        <v>52</v>
      </c>
      <c r="B27" s="2" t="s">
        <v>21</v>
      </c>
      <c r="C27" s="2" t="s">
        <v>32</v>
      </c>
      <c r="D27" s="3" t="n">
        <v>5000</v>
      </c>
      <c r="E27" s="4" t="n">
        <v>0.2</v>
      </c>
      <c r="F27" s="5" t="n">
        <v>46252</v>
      </c>
      <c r="G27" s="5" t="n">
        <v>46277</v>
      </c>
      <c r="H27" s="2" t="s">
        <v>19</v>
      </c>
      <c r="I27" s="2" t="s">
        <v>15</v>
      </c>
      <c r="J27" s="3" t="n">
        <f aca="false">D27*E27</f>
        <v>1000</v>
      </c>
      <c r="K27" s="2" t="n">
        <f aca="false">G27-F27</f>
        <v>25</v>
      </c>
    </row>
    <row r="28" customFormat="false" ht="15" hidden="false" customHeight="false" outlineLevel="0" collapsed="false">
      <c r="A28" s="2" t="s">
        <v>53</v>
      </c>
      <c r="B28" s="2" t="s">
        <v>12</v>
      </c>
      <c r="C28" s="2" t="s">
        <v>13</v>
      </c>
      <c r="D28" s="3" t="n">
        <v>11500</v>
      </c>
      <c r="E28" s="4" t="n">
        <v>0.3</v>
      </c>
      <c r="F28" s="5" t="n">
        <v>46252</v>
      </c>
      <c r="G28" s="5" t="n">
        <v>46270</v>
      </c>
      <c r="H28" s="2" t="s">
        <v>23</v>
      </c>
      <c r="I28" s="2" t="s">
        <v>15</v>
      </c>
      <c r="J28" s="3" t="n">
        <f aca="false">D28*E28</f>
        <v>3450</v>
      </c>
      <c r="K28" s="2" t="n">
        <f aca="false">G28-F28</f>
        <v>18</v>
      </c>
    </row>
    <row r="29" customFormat="false" ht="15" hidden="false" customHeight="false" outlineLevel="0" collapsed="false">
      <c r="A29" s="2" t="s">
        <v>54</v>
      </c>
      <c r="B29" s="2" t="s">
        <v>17</v>
      </c>
      <c r="C29" s="2" t="s">
        <v>18</v>
      </c>
      <c r="D29" s="3" t="n">
        <v>15500</v>
      </c>
      <c r="E29" s="4" t="n">
        <v>0.6</v>
      </c>
      <c r="F29" s="5" t="n">
        <v>46252</v>
      </c>
      <c r="G29" s="5" t="n">
        <v>46266</v>
      </c>
      <c r="H29" s="2" t="s">
        <v>14</v>
      </c>
      <c r="I29" s="2" t="s">
        <v>15</v>
      </c>
      <c r="J29" s="3" t="n">
        <f aca="false">D29*E29</f>
        <v>9300</v>
      </c>
      <c r="K29" s="2" t="n">
        <f aca="false">G29-F29</f>
        <v>14</v>
      </c>
    </row>
    <row r="30" customFormat="false" ht="15" hidden="false" customHeight="false" outlineLevel="0" collapsed="false">
      <c r="A30" s="2" t="s">
        <v>55</v>
      </c>
      <c r="B30" s="2" t="s">
        <v>28</v>
      </c>
      <c r="C30" s="2" t="s">
        <v>22</v>
      </c>
      <c r="D30" s="3" t="n">
        <v>22000</v>
      </c>
      <c r="E30" s="4" t="n">
        <v>0.8</v>
      </c>
      <c r="F30" s="5" t="n">
        <v>46252</v>
      </c>
      <c r="G30" s="5" t="n">
        <v>46273</v>
      </c>
      <c r="H30" s="2" t="s">
        <v>19</v>
      </c>
      <c r="I30" s="2" t="s">
        <v>15</v>
      </c>
      <c r="J30" s="3" t="n">
        <f aca="false">D30*E30</f>
        <v>17600</v>
      </c>
      <c r="K30" s="2" t="n">
        <f aca="false">G30-F30</f>
        <v>21</v>
      </c>
    </row>
    <row r="31" customFormat="false" ht="15" hidden="false" customHeight="false" outlineLevel="0" collapsed="false">
      <c r="A31" s="2" t="s">
        <v>56</v>
      </c>
      <c r="B31" s="2" t="s">
        <v>21</v>
      </c>
      <c r="C31" s="2" t="s">
        <v>25</v>
      </c>
      <c r="D31" s="3" t="n">
        <v>9000</v>
      </c>
      <c r="E31" s="4" t="n">
        <v>1</v>
      </c>
      <c r="F31" s="5" t="n">
        <v>46252</v>
      </c>
      <c r="G31" s="5" t="n">
        <v>46255</v>
      </c>
      <c r="H31" s="2" t="s">
        <v>23</v>
      </c>
      <c r="I31" s="2" t="s">
        <v>26</v>
      </c>
      <c r="J31" s="3" t="n">
        <f aca="false">D31*E31</f>
        <v>9000</v>
      </c>
      <c r="K31" s="2" t="n">
        <f aca="false">G31-F31</f>
        <v>3</v>
      </c>
    </row>
    <row r="32" customFormat="false" ht="15" hidden="false" customHeight="false" outlineLevel="0" collapsed="false">
      <c r="A32" s="2" t="s">
        <v>57</v>
      </c>
      <c r="B32" s="2" t="s">
        <v>12</v>
      </c>
      <c r="C32" s="2" t="s">
        <v>32</v>
      </c>
      <c r="D32" s="3" t="n">
        <v>6500</v>
      </c>
      <c r="E32" s="4" t="n">
        <v>0.2</v>
      </c>
      <c r="F32" s="5" t="n">
        <v>46252</v>
      </c>
      <c r="G32" s="5" t="n">
        <v>46280</v>
      </c>
      <c r="H32" s="2" t="s">
        <v>14</v>
      </c>
      <c r="I32" s="2" t="s">
        <v>15</v>
      </c>
      <c r="J32" s="3" t="n">
        <f aca="false">D32*E32</f>
        <v>1300</v>
      </c>
      <c r="K32" s="2" t="n">
        <f aca="false">G32-F32</f>
        <v>28</v>
      </c>
    </row>
    <row r="33" customFormat="false" ht="15" hidden="false" customHeight="false" outlineLevel="0" collapsed="false">
      <c r="A33" s="2" t="s">
        <v>58</v>
      </c>
      <c r="B33" s="2" t="s">
        <v>17</v>
      </c>
      <c r="C33" s="2" t="s">
        <v>13</v>
      </c>
      <c r="D33" s="3" t="n">
        <v>10000</v>
      </c>
      <c r="E33" s="4" t="n">
        <v>0.3</v>
      </c>
      <c r="F33" s="5" t="n">
        <v>46252</v>
      </c>
      <c r="G33" s="5" t="n">
        <v>46272</v>
      </c>
      <c r="H33" s="2" t="s">
        <v>19</v>
      </c>
      <c r="I33" s="2" t="s">
        <v>15</v>
      </c>
      <c r="J33" s="3" t="n">
        <f aca="false">D33*E33</f>
        <v>3000</v>
      </c>
      <c r="K33" s="2" t="n">
        <f aca="false">G33-F33</f>
        <v>20</v>
      </c>
    </row>
    <row r="34" customFormat="false" ht="15" hidden="false" customHeight="false" outlineLevel="0" collapsed="false">
      <c r="A34" s="2" t="s">
        <v>59</v>
      </c>
      <c r="B34" s="2" t="s">
        <v>21</v>
      </c>
      <c r="C34" s="2" t="s">
        <v>18</v>
      </c>
      <c r="D34" s="3" t="n">
        <v>17000</v>
      </c>
      <c r="E34" s="4" t="n">
        <v>0.6</v>
      </c>
      <c r="F34" s="5" t="n">
        <v>46252</v>
      </c>
      <c r="G34" s="5" t="n">
        <v>46269</v>
      </c>
      <c r="H34" s="2" t="s">
        <v>23</v>
      </c>
      <c r="I34" s="2" t="s">
        <v>15</v>
      </c>
      <c r="J34" s="3" t="n">
        <f aca="false">D34*E34</f>
        <v>10200</v>
      </c>
      <c r="K34" s="2" t="n">
        <f aca="false">G34-F34</f>
        <v>17</v>
      </c>
    </row>
    <row r="35" customFormat="false" ht="15" hidden="false" customHeight="false" outlineLevel="0" collapsed="false">
      <c r="A35" s="2" t="s">
        <v>60</v>
      </c>
      <c r="B35" s="2" t="s">
        <v>28</v>
      </c>
      <c r="C35" s="2" t="s">
        <v>22</v>
      </c>
      <c r="D35" s="3" t="n">
        <v>19500</v>
      </c>
      <c r="E35" s="4" t="n">
        <v>0.8</v>
      </c>
      <c r="F35" s="5" t="n">
        <v>46252</v>
      </c>
      <c r="G35" s="5" t="n">
        <v>46275</v>
      </c>
      <c r="H35" s="2" t="s">
        <v>14</v>
      </c>
      <c r="I35" s="2" t="s">
        <v>15</v>
      </c>
      <c r="J35" s="3" t="n">
        <f aca="false">D35*E35</f>
        <v>15600</v>
      </c>
      <c r="K35" s="2" t="n">
        <f aca="false">G35-F35</f>
        <v>23</v>
      </c>
    </row>
    <row r="36" customFormat="false" ht="15" hidden="false" customHeight="false" outlineLevel="0" collapsed="false">
      <c r="A36" s="2" t="s">
        <v>61</v>
      </c>
      <c r="B36" s="2" t="s">
        <v>12</v>
      </c>
      <c r="C36" s="2" t="s">
        <v>29</v>
      </c>
      <c r="D36" s="3" t="n">
        <v>7000</v>
      </c>
      <c r="E36" s="4" t="n">
        <v>0</v>
      </c>
      <c r="F36" s="5" t="n">
        <v>46252</v>
      </c>
      <c r="G36" s="5" t="n">
        <v>46256</v>
      </c>
      <c r="H36" s="2" t="s">
        <v>19</v>
      </c>
      <c r="I36" s="2" t="s">
        <v>30</v>
      </c>
      <c r="J36" s="3" t="n">
        <f aca="false">D36*E36</f>
        <v>0</v>
      </c>
      <c r="K36" s="2" t="n">
        <f aca="false">G36-F36</f>
        <v>4</v>
      </c>
    </row>
    <row r="37" customFormat="false" ht="15" hidden="false" customHeight="false" outlineLevel="0" collapsed="false">
      <c r="A37" s="2" t="s">
        <v>62</v>
      </c>
      <c r="B37" s="2" t="s">
        <v>17</v>
      </c>
      <c r="C37" s="2" t="s">
        <v>32</v>
      </c>
      <c r="D37" s="3" t="n">
        <v>8000</v>
      </c>
      <c r="E37" s="4" t="n">
        <v>0.2</v>
      </c>
      <c r="F37" s="5" t="n">
        <v>46252</v>
      </c>
      <c r="G37" s="5" t="n">
        <v>46282</v>
      </c>
      <c r="H37" s="2" t="s">
        <v>23</v>
      </c>
      <c r="I37" s="2" t="s">
        <v>15</v>
      </c>
      <c r="J37" s="3" t="n">
        <f aca="false">D37*E37</f>
        <v>1600</v>
      </c>
      <c r="K37" s="2" t="n">
        <f aca="false">G37-F37</f>
        <v>30</v>
      </c>
    </row>
    <row r="38" customFormat="false" ht="15" hidden="false" customHeight="false" outlineLevel="0" collapsed="false">
      <c r="A38" s="2" t="s">
        <v>63</v>
      </c>
      <c r="B38" s="2" t="s">
        <v>21</v>
      </c>
      <c r="C38" s="2" t="s">
        <v>13</v>
      </c>
      <c r="D38" s="3" t="n">
        <v>13500</v>
      </c>
      <c r="E38" s="4" t="n">
        <v>0.3</v>
      </c>
      <c r="F38" s="5" t="n">
        <v>46252</v>
      </c>
      <c r="G38" s="5" t="n">
        <v>46274</v>
      </c>
      <c r="H38" s="2" t="s">
        <v>14</v>
      </c>
      <c r="I38" s="2" t="s">
        <v>15</v>
      </c>
      <c r="J38" s="3" t="n">
        <f aca="false">D38*E38</f>
        <v>4050</v>
      </c>
      <c r="K38" s="2" t="n">
        <f aca="false">G38-F38</f>
        <v>22</v>
      </c>
    </row>
    <row r="39" customFormat="false" ht="15" hidden="false" customHeight="false" outlineLevel="0" collapsed="false">
      <c r="A39" s="2" t="s">
        <v>64</v>
      </c>
      <c r="B39" s="2" t="s">
        <v>12</v>
      </c>
      <c r="C39" s="2" t="s">
        <v>18</v>
      </c>
      <c r="D39" s="3" t="n">
        <v>14500</v>
      </c>
      <c r="E39" s="4" t="n">
        <v>0.6</v>
      </c>
      <c r="F39" s="5" t="n">
        <v>46252</v>
      </c>
      <c r="G39" s="5" t="n">
        <v>46271</v>
      </c>
      <c r="H39" s="2" t="s">
        <v>19</v>
      </c>
      <c r="I39" s="2" t="s">
        <v>15</v>
      </c>
      <c r="J39" s="3" t="n">
        <f aca="false">D39*E39</f>
        <v>8700</v>
      </c>
      <c r="K39" s="2" t="n">
        <f aca="false">G39-F39</f>
        <v>19</v>
      </c>
    </row>
    <row r="40" customFormat="false" ht="15" hidden="false" customHeight="false" outlineLevel="0" collapsed="false">
      <c r="A40" s="2" t="s">
        <v>65</v>
      </c>
      <c r="B40" s="2" t="s">
        <v>17</v>
      </c>
      <c r="C40" s="2" t="s">
        <v>22</v>
      </c>
      <c r="D40" s="3" t="n">
        <v>25000</v>
      </c>
      <c r="E40" s="4" t="n">
        <v>0.8</v>
      </c>
      <c r="F40" s="5" t="n">
        <v>46252</v>
      </c>
      <c r="G40" s="5" t="n">
        <v>46277</v>
      </c>
      <c r="H40" s="2" t="s">
        <v>23</v>
      </c>
      <c r="I40" s="2" t="s">
        <v>15</v>
      </c>
      <c r="J40" s="3" t="n">
        <f aca="false">D40*E40</f>
        <v>20000</v>
      </c>
      <c r="K40" s="2" t="n">
        <f aca="false">G40-F40</f>
        <v>25</v>
      </c>
    </row>
    <row r="41" customFormat="false" ht="15" hidden="false" customHeight="false" outlineLevel="0" collapsed="false">
      <c r="A41" s="2" t="s">
        <v>66</v>
      </c>
      <c r="B41" s="2" t="s">
        <v>28</v>
      </c>
      <c r="C41" s="2" t="s">
        <v>25</v>
      </c>
      <c r="D41" s="3" t="n">
        <v>11000</v>
      </c>
      <c r="E41" s="4" t="n">
        <v>1</v>
      </c>
      <c r="F41" s="5" t="n">
        <v>46252</v>
      </c>
      <c r="G41" s="5" t="n">
        <v>46259</v>
      </c>
      <c r="H41" s="2" t="s">
        <v>14</v>
      </c>
      <c r="I41" s="2" t="s">
        <v>26</v>
      </c>
      <c r="J41" s="3" t="n">
        <f aca="false">D41*E41</f>
        <v>11000</v>
      </c>
      <c r="K41" s="2" t="n">
        <f aca="false">G41-F41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23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1" t="s">
        <v>67</v>
      </c>
      <c r="B1" s="1" t="s">
        <v>1</v>
      </c>
      <c r="C1" s="1" t="s">
        <v>68</v>
      </c>
      <c r="D1" s="1" t="s">
        <v>69</v>
      </c>
      <c r="E1" s="1" t="s">
        <v>70</v>
      </c>
      <c r="F1" s="1" t="s">
        <v>7</v>
      </c>
    </row>
    <row r="2" customFormat="false" ht="15" hidden="false" customHeight="false" outlineLevel="0" collapsed="false">
      <c r="A2" s="2" t="s">
        <v>71</v>
      </c>
      <c r="B2" s="2" t="s">
        <v>12</v>
      </c>
      <c r="C2" s="5" t="n">
        <v>46235</v>
      </c>
      <c r="D2" s="2" t="s">
        <v>13</v>
      </c>
      <c r="E2" s="2" t="s">
        <v>72</v>
      </c>
      <c r="F2" s="2" t="s">
        <v>14</v>
      </c>
    </row>
    <row r="3" customFormat="false" ht="15" hidden="false" customHeight="false" outlineLevel="0" collapsed="false">
      <c r="A3" s="2" t="s">
        <v>73</v>
      </c>
      <c r="B3" s="2" t="s">
        <v>21</v>
      </c>
      <c r="C3" s="5" t="n">
        <v>46235</v>
      </c>
      <c r="D3" s="2" t="s">
        <v>13</v>
      </c>
      <c r="E3" s="2" t="s">
        <v>72</v>
      </c>
      <c r="F3" s="2" t="s">
        <v>19</v>
      </c>
    </row>
    <row r="4" customFormat="false" ht="15" hidden="false" customHeight="false" outlineLevel="0" collapsed="false">
      <c r="A4" s="2" t="s">
        <v>74</v>
      </c>
      <c r="B4" s="2" t="s">
        <v>17</v>
      </c>
      <c r="C4" s="5" t="n">
        <v>46236</v>
      </c>
      <c r="D4" s="2" t="s">
        <v>13</v>
      </c>
      <c r="E4" s="2" t="s">
        <v>72</v>
      </c>
      <c r="F4" s="2" t="s">
        <v>23</v>
      </c>
    </row>
    <row r="5" customFormat="false" ht="15" hidden="false" customHeight="false" outlineLevel="0" collapsed="false">
      <c r="A5" s="2" t="s">
        <v>75</v>
      </c>
      <c r="B5" s="2" t="s">
        <v>28</v>
      </c>
      <c r="C5" s="5" t="n">
        <v>46236</v>
      </c>
      <c r="D5" s="2" t="s">
        <v>76</v>
      </c>
      <c r="E5" s="2" t="s">
        <v>77</v>
      </c>
      <c r="F5" s="2" t="s">
        <v>14</v>
      </c>
    </row>
    <row r="6" customFormat="false" ht="15" hidden="false" customHeight="false" outlineLevel="0" collapsed="false">
      <c r="A6" s="2" t="s">
        <v>78</v>
      </c>
      <c r="B6" s="2" t="s">
        <v>12</v>
      </c>
      <c r="C6" s="5" t="n">
        <v>46237</v>
      </c>
      <c r="D6" s="2" t="s">
        <v>13</v>
      </c>
      <c r="E6" s="2" t="s">
        <v>72</v>
      </c>
      <c r="F6" s="2" t="s">
        <v>19</v>
      </c>
    </row>
    <row r="7" customFormat="false" ht="15" hidden="false" customHeight="false" outlineLevel="0" collapsed="false">
      <c r="A7" s="2" t="s">
        <v>79</v>
      </c>
      <c r="B7" s="2" t="s">
        <v>21</v>
      </c>
      <c r="C7" s="5" t="n">
        <v>46237</v>
      </c>
      <c r="D7" s="2" t="s">
        <v>76</v>
      </c>
      <c r="E7" s="2" t="s">
        <v>72</v>
      </c>
      <c r="F7" s="2" t="s">
        <v>23</v>
      </c>
    </row>
    <row r="8" customFormat="false" ht="15" hidden="false" customHeight="false" outlineLevel="0" collapsed="false">
      <c r="A8" s="2" t="s">
        <v>80</v>
      </c>
      <c r="B8" s="2" t="s">
        <v>17</v>
      </c>
      <c r="C8" s="5" t="n">
        <v>46238</v>
      </c>
      <c r="D8" s="2" t="s">
        <v>13</v>
      </c>
      <c r="E8" s="2" t="s">
        <v>72</v>
      </c>
      <c r="F8" s="2" t="s">
        <v>14</v>
      </c>
    </row>
    <row r="9" customFormat="false" ht="15" hidden="false" customHeight="false" outlineLevel="0" collapsed="false">
      <c r="A9" s="2" t="s">
        <v>81</v>
      </c>
      <c r="B9" s="2" t="s">
        <v>12</v>
      </c>
      <c r="C9" s="5" t="n">
        <v>46238</v>
      </c>
      <c r="D9" s="2" t="s">
        <v>76</v>
      </c>
      <c r="E9" s="2" t="s">
        <v>77</v>
      </c>
      <c r="F9" s="2" t="s">
        <v>19</v>
      </c>
    </row>
    <row r="10" customFormat="false" ht="15" hidden="false" customHeight="false" outlineLevel="0" collapsed="false">
      <c r="A10" s="2" t="s">
        <v>82</v>
      </c>
      <c r="B10" s="2" t="s">
        <v>28</v>
      </c>
      <c r="C10" s="5" t="n">
        <v>46239</v>
      </c>
      <c r="D10" s="2" t="s">
        <v>13</v>
      </c>
      <c r="E10" s="2" t="s">
        <v>72</v>
      </c>
      <c r="F10" s="2" t="s">
        <v>23</v>
      </c>
    </row>
    <row r="11" customFormat="false" ht="15" hidden="false" customHeight="false" outlineLevel="0" collapsed="false">
      <c r="A11" s="2" t="s">
        <v>83</v>
      </c>
      <c r="B11" s="2" t="s">
        <v>21</v>
      </c>
      <c r="C11" s="5" t="n">
        <v>46239</v>
      </c>
      <c r="D11" s="2" t="s">
        <v>13</v>
      </c>
      <c r="E11" s="2" t="s">
        <v>72</v>
      </c>
      <c r="F11" s="2" t="s">
        <v>14</v>
      </c>
    </row>
    <row r="12" customFormat="false" ht="15" hidden="false" customHeight="false" outlineLevel="0" collapsed="false">
      <c r="A12" s="2" t="s">
        <v>84</v>
      </c>
      <c r="B12" s="2" t="s">
        <v>17</v>
      </c>
      <c r="C12" s="5" t="n">
        <v>46240</v>
      </c>
      <c r="D12" s="2" t="s">
        <v>76</v>
      </c>
      <c r="E12" s="2" t="s">
        <v>77</v>
      </c>
      <c r="F12" s="2" t="s">
        <v>19</v>
      </c>
    </row>
    <row r="13" customFormat="false" ht="15" hidden="false" customHeight="false" outlineLevel="0" collapsed="false">
      <c r="A13" s="2" t="s">
        <v>85</v>
      </c>
      <c r="B13" s="2" t="s">
        <v>12</v>
      </c>
      <c r="C13" s="5" t="n">
        <v>46240</v>
      </c>
      <c r="D13" s="2" t="s">
        <v>13</v>
      </c>
      <c r="E13" s="2" t="s">
        <v>72</v>
      </c>
      <c r="F13" s="2" t="s">
        <v>23</v>
      </c>
    </row>
    <row r="14" customFormat="false" ht="15" hidden="false" customHeight="false" outlineLevel="0" collapsed="false">
      <c r="A14" s="2" t="s">
        <v>86</v>
      </c>
      <c r="B14" s="2" t="s">
        <v>21</v>
      </c>
      <c r="C14" s="5" t="n">
        <v>46241</v>
      </c>
      <c r="D14" s="2" t="s">
        <v>13</v>
      </c>
      <c r="E14" s="2" t="s">
        <v>72</v>
      </c>
      <c r="F14" s="2" t="s">
        <v>14</v>
      </c>
    </row>
    <row r="15" customFormat="false" ht="15" hidden="false" customHeight="false" outlineLevel="0" collapsed="false">
      <c r="A15" s="2" t="s">
        <v>87</v>
      </c>
      <c r="B15" s="2" t="s">
        <v>17</v>
      </c>
      <c r="C15" s="5" t="n">
        <v>46241</v>
      </c>
      <c r="D15" s="2" t="s">
        <v>76</v>
      </c>
      <c r="E15" s="2" t="s">
        <v>77</v>
      </c>
      <c r="F15" s="2" t="s">
        <v>19</v>
      </c>
    </row>
    <row r="16" customFormat="false" ht="15" hidden="false" customHeight="false" outlineLevel="0" collapsed="false">
      <c r="A16" s="2" t="s">
        <v>88</v>
      </c>
      <c r="B16" s="2" t="s">
        <v>28</v>
      </c>
      <c r="C16" s="5" t="n">
        <v>46242</v>
      </c>
      <c r="D16" s="2" t="s">
        <v>13</v>
      </c>
      <c r="E16" s="2" t="s">
        <v>72</v>
      </c>
      <c r="F16" s="2" t="s">
        <v>23</v>
      </c>
    </row>
    <row r="17" customFormat="false" ht="15" hidden="false" customHeight="false" outlineLevel="0" collapsed="false">
      <c r="A17" s="2" t="s">
        <v>89</v>
      </c>
      <c r="B17" s="2" t="s">
        <v>12</v>
      </c>
      <c r="C17" s="5" t="n">
        <v>46242</v>
      </c>
      <c r="D17" s="2" t="s">
        <v>13</v>
      </c>
      <c r="E17" s="2" t="s">
        <v>72</v>
      </c>
      <c r="F17" s="2" t="s">
        <v>14</v>
      </c>
    </row>
    <row r="18" customFormat="false" ht="15" hidden="false" customHeight="false" outlineLevel="0" collapsed="false">
      <c r="A18" s="2" t="s">
        <v>90</v>
      </c>
      <c r="B18" s="2" t="s">
        <v>21</v>
      </c>
      <c r="C18" s="5" t="n">
        <v>46243</v>
      </c>
      <c r="D18" s="2" t="s">
        <v>76</v>
      </c>
      <c r="E18" s="2" t="s">
        <v>77</v>
      </c>
      <c r="F18" s="2" t="s">
        <v>19</v>
      </c>
    </row>
    <row r="19" customFormat="false" ht="15" hidden="false" customHeight="false" outlineLevel="0" collapsed="false">
      <c r="A19" s="2" t="s">
        <v>91</v>
      </c>
      <c r="B19" s="2" t="s">
        <v>17</v>
      </c>
      <c r="C19" s="5" t="n">
        <v>46243</v>
      </c>
      <c r="D19" s="2" t="s">
        <v>13</v>
      </c>
      <c r="E19" s="2" t="s">
        <v>72</v>
      </c>
      <c r="F19" s="2" t="s">
        <v>23</v>
      </c>
    </row>
    <row r="20" customFormat="false" ht="15" hidden="false" customHeight="false" outlineLevel="0" collapsed="false">
      <c r="A20" s="2" t="s">
        <v>92</v>
      </c>
      <c r="B20" s="2" t="s">
        <v>28</v>
      </c>
      <c r="C20" s="5" t="n">
        <v>46244</v>
      </c>
      <c r="D20" s="2" t="s">
        <v>13</v>
      </c>
      <c r="E20" s="2" t="s">
        <v>72</v>
      </c>
      <c r="F20" s="2" t="s">
        <v>14</v>
      </c>
    </row>
    <row r="21" customFormat="false" ht="15" hidden="false" customHeight="false" outlineLevel="0" collapsed="false">
      <c r="A21" s="2" t="s">
        <v>93</v>
      </c>
      <c r="B21" s="2" t="s">
        <v>12</v>
      </c>
      <c r="C21" s="5" t="n">
        <v>46244</v>
      </c>
      <c r="D21" s="2" t="s">
        <v>76</v>
      </c>
      <c r="E21" s="2" t="s">
        <v>77</v>
      </c>
      <c r="F21" s="2" t="s">
        <v>19</v>
      </c>
    </row>
    <row r="22" customFormat="false" ht="15" hidden="false" customHeight="false" outlineLevel="0" collapsed="false">
      <c r="A22" s="2" t="s">
        <v>94</v>
      </c>
      <c r="B22" s="2" t="s">
        <v>21</v>
      </c>
      <c r="C22" s="5" t="n">
        <v>46245</v>
      </c>
      <c r="D22" s="2" t="s">
        <v>13</v>
      </c>
      <c r="E22" s="2" t="s">
        <v>72</v>
      </c>
      <c r="F22" s="2" t="s">
        <v>23</v>
      </c>
    </row>
    <row r="23" customFormat="false" ht="15" hidden="false" customHeight="false" outlineLevel="0" collapsed="false">
      <c r="A23" s="2" t="s">
        <v>95</v>
      </c>
      <c r="B23" s="2" t="s">
        <v>17</v>
      </c>
      <c r="C23" s="5" t="n">
        <v>46245</v>
      </c>
      <c r="D23" s="2" t="s">
        <v>13</v>
      </c>
      <c r="E23" s="2" t="s">
        <v>72</v>
      </c>
      <c r="F23" s="2" t="s">
        <v>14</v>
      </c>
    </row>
    <row r="24" customFormat="false" ht="15" hidden="false" customHeight="false" outlineLevel="0" collapsed="false">
      <c r="A24" s="2" t="s">
        <v>96</v>
      </c>
      <c r="B24" s="2" t="s">
        <v>12</v>
      </c>
      <c r="C24" s="5" t="n">
        <v>46246</v>
      </c>
      <c r="D24" s="2" t="s">
        <v>76</v>
      </c>
      <c r="E24" s="2" t="s">
        <v>77</v>
      </c>
      <c r="F24" s="2" t="s">
        <v>19</v>
      </c>
    </row>
    <row r="25" customFormat="false" ht="15" hidden="false" customHeight="false" outlineLevel="0" collapsed="false">
      <c r="A25" s="2" t="s">
        <v>97</v>
      </c>
      <c r="B25" s="2" t="s">
        <v>28</v>
      </c>
      <c r="C25" s="5" t="n">
        <v>46246</v>
      </c>
      <c r="D25" s="2" t="s">
        <v>13</v>
      </c>
      <c r="E25" s="2" t="s">
        <v>72</v>
      </c>
      <c r="F25" s="2" t="s">
        <v>23</v>
      </c>
    </row>
    <row r="26" customFormat="false" ht="15" hidden="false" customHeight="false" outlineLevel="0" collapsed="false">
      <c r="A26" s="2" t="s">
        <v>98</v>
      </c>
      <c r="B26" s="2" t="s">
        <v>21</v>
      </c>
      <c r="C26" s="5" t="n">
        <v>46247</v>
      </c>
      <c r="D26" s="2" t="s">
        <v>13</v>
      </c>
      <c r="E26" s="2" t="s">
        <v>72</v>
      </c>
      <c r="F26" s="2" t="s">
        <v>14</v>
      </c>
    </row>
    <row r="27" customFormat="false" ht="15" hidden="false" customHeight="false" outlineLevel="0" collapsed="false">
      <c r="A27" s="2" t="s">
        <v>99</v>
      </c>
      <c r="B27" s="2" t="s">
        <v>17</v>
      </c>
      <c r="C27" s="5" t="n">
        <v>46247</v>
      </c>
      <c r="D27" s="2" t="s">
        <v>76</v>
      </c>
      <c r="E27" s="2" t="s">
        <v>77</v>
      </c>
      <c r="F27" s="2" t="s">
        <v>19</v>
      </c>
    </row>
    <row r="28" customFormat="false" ht="15" hidden="false" customHeight="false" outlineLevel="0" collapsed="false">
      <c r="A28" s="2" t="s">
        <v>100</v>
      </c>
      <c r="B28" s="2" t="s">
        <v>12</v>
      </c>
      <c r="C28" s="5" t="n">
        <v>46248</v>
      </c>
      <c r="D28" s="2" t="s">
        <v>13</v>
      </c>
      <c r="E28" s="2" t="s">
        <v>72</v>
      </c>
      <c r="F28" s="2" t="s">
        <v>23</v>
      </c>
    </row>
    <row r="29" customFormat="false" ht="15" hidden="false" customHeight="false" outlineLevel="0" collapsed="false">
      <c r="A29" s="2" t="s">
        <v>101</v>
      </c>
      <c r="B29" s="2" t="s">
        <v>21</v>
      </c>
      <c r="C29" s="5" t="n">
        <v>46248</v>
      </c>
      <c r="D29" s="2" t="s">
        <v>13</v>
      </c>
      <c r="E29" s="2" t="s">
        <v>72</v>
      </c>
      <c r="F29" s="2" t="s">
        <v>14</v>
      </c>
    </row>
    <row r="30" customFormat="false" ht="15" hidden="false" customHeight="false" outlineLevel="0" collapsed="false">
      <c r="A30" s="2" t="s">
        <v>102</v>
      </c>
      <c r="B30" s="2" t="s">
        <v>28</v>
      </c>
      <c r="C30" s="5" t="n">
        <v>46249</v>
      </c>
      <c r="D30" s="2" t="s">
        <v>13</v>
      </c>
      <c r="E30" s="2" t="s">
        <v>72</v>
      </c>
      <c r="F30" s="2" t="s">
        <v>19</v>
      </c>
    </row>
    <row r="31" customFormat="false" ht="15" hidden="false" customHeight="false" outlineLevel="0" collapsed="false">
      <c r="A31" s="2" t="s">
        <v>103</v>
      </c>
      <c r="B31" s="2" t="s">
        <v>17</v>
      </c>
      <c r="C31" s="5" t="n">
        <v>46249</v>
      </c>
      <c r="D31" s="2" t="s">
        <v>76</v>
      </c>
      <c r="E31" s="2" t="s">
        <v>77</v>
      </c>
      <c r="F31" s="2" t="s">
        <v>23</v>
      </c>
    </row>
    <row r="32" customFormat="false" ht="15" hidden="false" customHeight="false" outlineLevel="0" collapsed="false">
      <c r="A32" s="2" t="s">
        <v>104</v>
      </c>
      <c r="B32" s="2" t="s">
        <v>12</v>
      </c>
      <c r="C32" s="5" t="n">
        <v>46250</v>
      </c>
      <c r="D32" s="2" t="s">
        <v>13</v>
      </c>
      <c r="E32" s="2" t="s">
        <v>72</v>
      </c>
      <c r="F32" s="2" t="s">
        <v>14</v>
      </c>
    </row>
    <row r="33" customFormat="false" ht="15" hidden="false" customHeight="false" outlineLevel="0" collapsed="false">
      <c r="A33" s="2" t="s">
        <v>105</v>
      </c>
      <c r="B33" s="2" t="s">
        <v>21</v>
      </c>
      <c r="C33" s="5" t="n">
        <v>46250</v>
      </c>
      <c r="D33" s="2" t="s">
        <v>13</v>
      </c>
      <c r="E33" s="2" t="s">
        <v>72</v>
      </c>
      <c r="F33" s="2" t="s">
        <v>19</v>
      </c>
    </row>
    <row r="34" customFormat="false" ht="15" hidden="false" customHeight="false" outlineLevel="0" collapsed="false">
      <c r="A34" s="2" t="s">
        <v>106</v>
      </c>
      <c r="B34" s="2" t="s">
        <v>17</v>
      </c>
      <c r="C34" s="5" t="n">
        <v>46251</v>
      </c>
      <c r="D34" s="2" t="s">
        <v>13</v>
      </c>
      <c r="E34" s="2" t="s">
        <v>72</v>
      </c>
      <c r="F34" s="2" t="s">
        <v>23</v>
      </c>
    </row>
    <row r="35" customFormat="false" ht="15" hidden="false" customHeight="false" outlineLevel="0" collapsed="false">
      <c r="A35" s="2" t="s">
        <v>107</v>
      </c>
      <c r="B35" s="2" t="s">
        <v>28</v>
      </c>
      <c r="C35" s="5" t="n">
        <v>46251</v>
      </c>
      <c r="D35" s="2" t="s">
        <v>76</v>
      </c>
      <c r="E35" s="2" t="s">
        <v>77</v>
      </c>
      <c r="F35" s="2" t="s">
        <v>14</v>
      </c>
    </row>
    <row r="36" customFormat="false" ht="15" hidden="false" customHeight="false" outlineLevel="0" collapsed="false">
      <c r="A36" s="2" t="s">
        <v>108</v>
      </c>
      <c r="B36" s="2" t="s">
        <v>12</v>
      </c>
      <c r="C36" s="5" t="n">
        <v>46252</v>
      </c>
      <c r="D36" s="2" t="s">
        <v>13</v>
      </c>
      <c r="E36" s="2" t="s">
        <v>72</v>
      </c>
      <c r="F36" s="2" t="s">
        <v>19</v>
      </c>
    </row>
    <row r="37" customFormat="false" ht="15" hidden="false" customHeight="false" outlineLevel="0" collapsed="false">
      <c r="A37" s="2" t="s">
        <v>109</v>
      </c>
      <c r="B37" s="2" t="s">
        <v>21</v>
      </c>
      <c r="C37" s="5" t="n">
        <v>46252</v>
      </c>
      <c r="D37" s="2" t="s">
        <v>13</v>
      </c>
      <c r="E37" s="2" t="s">
        <v>72</v>
      </c>
      <c r="F37" s="2" t="s">
        <v>23</v>
      </c>
    </row>
    <row r="38" customFormat="false" ht="15" hidden="false" customHeight="false" outlineLevel="0" collapsed="false">
      <c r="A38" s="2" t="s">
        <v>110</v>
      </c>
      <c r="B38" s="2" t="s">
        <v>17</v>
      </c>
      <c r="C38" s="5" t="n">
        <v>46252</v>
      </c>
      <c r="D38" s="2" t="s">
        <v>76</v>
      </c>
      <c r="E38" s="2" t="s">
        <v>77</v>
      </c>
      <c r="F38" s="2" t="s">
        <v>14</v>
      </c>
    </row>
    <row r="39" customFormat="false" ht="15" hidden="false" customHeight="false" outlineLevel="0" collapsed="false">
      <c r="A39" s="2" t="s">
        <v>111</v>
      </c>
      <c r="B39" s="2" t="s">
        <v>28</v>
      </c>
      <c r="C39" s="5" t="n">
        <v>46252</v>
      </c>
      <c r="D39" s="2" t="s">
        <v>13</v>
      </c>
      <c r="E39" s="2" t="s">
        <v>72</v>
      </c>
      <c r="F39" s="2" t="s">
        <v>19</v>
      </c>
    </row>
    <row r="40" customFormat="false" ht="15" hidden="false" customHeight="false" outlineLevel="0" collapsed="false">
      <c r="A40" s="2" t="s">
        <v>112</v>
      </c>
      <c r="B40" s="2" t="s">
        <v>12</v>
      </c>
      <c r="C40" s="5" t="n">
        <v>46252</v>
      </c>
      <c r="D40" s="2" t="s">
        <v>13</v>
      </c>
      <c r="E40" s="2" t="s">
        <v>72</v>
      </c>
      <c r="F40" s="2" t="s">
        <v>23</v>
      </c>
    </row>
    <row r="41" customFormat="false" ht="15" hidden="false" customHeight="false" outlineLevel="0" collapsed="false">
      <c r="A41" s="2" t="s">
        <v>113</v>
      </c>
      <c r="B41" s="2" t="s">
        <v>21</v>
      </c>
      <c r="C41" s="5" t="n">
        <v>46252</v>
      </c>
      <c r="D41" s="2" t="s">
        <v>76</v>
      </c>
      <c r="E41" s="2" t="s">
        <v>77</v>
      </c>
      <c r="F41" s="2" t="s">
        <v>14</v>
      </c>
    </row>
    <row r="42" customFormat="false" ht="15" hidden="false" customHeight="false" outlineLevel="0" collapsed="false">
      <c r="A42" s="2" t="s">
        <v>114</v>
      </c>
      <c r="B42" s="2" t="s">
        <v>17</v>
      </c>
      <c r="C42" s="5" t="n">
        <v>46252</v>
      </c>
      <c r="D42" s="2" t="s">
        <v>13</v>
      </c>
      <c r="E42" s="2" t="s">
        <v>72</v>
      </c>
      <c r="F42" s="2" t="s">
        <v>19</v>
      </c>
    </row>
    <row r="43" customFormat="false" ht="15" hidden="false" customHeight="false" outlineLevel="0" collapsed="false">
      <c r="A43" s="2" t="s">
        <v>115</v>
      </c>
      <c r="B43" s="2" t="s">
        <v>12</v>
      </c>
      <c r="C43" s="5" t="n">
        <v>46252</v>
      </c>
      <c r="D43" s="2" t="s">
        <v>13</v>
      </c>
      <c r="E43" s="2" t="s">
        <v>72</v>
      </c>
      <c r="F43" s="2" t="s">
        <v>23</v>
      </c>
    </row>
    <row r="44" customFormat="false" ht="15" hidden="false" customHeight="false" outlineLevel="0" collapsed="false">
      <c r="A44" s="2" t="s">
        <v>116</v>
      </c>
      <c r="B44" s="2" t="s">
        <v>21</v>
      </c>
      <c r="C44" s="5" t="n">
        <v>46252</v>
      </c>
      <c r="D44" s="2" t="s">
        <v>76</v>
      </c>
      <c r="E44" s="2" t="s">
        <v>77</v>
      </c>
      <c r="F44" s="2" t="s">
        <v>14</v>
      </c>
    </row>
    <row r="45" customFormat="false" ht="15" hidden="false" customHeight="false" outlineLevel="0" collapsed="false">
      <c r="A45" s="2" t="s">
        <v>117</v>
      </c>
      <c r="B45" s="2" t="s">
        <v>17</v>
      </c>
      <c r="C45" s="5" t="n">
        <v>46252</v>
      </c>
      <c r="D45" s="2" t="s">
        <v>13</v>
      </c>
      <c r="E45" s="2" t="s">
        <v>72</v>
      </c>
      <c r="F45" s="2" t="s">
        <v>19</v>
      </c>
    </row>
    <row r="46" customFormat="false" ht="15" hidden="false" customHeight="false" outlineLevel="0" collapsed="false">
      <c r="A46" s="2" t="s">
        <v>118</v>
      </c>
      <c r="B46" s="2" t="s">
        <v>28</v>
      </c>
      <c r="C46" s="5" t="n">
        <v>46252</v>
      </c>
      <c r="D46" s="2" t="s">
        <v>13</v>
      </c>
      <c r="E46" s="2" t="s">
        <v>72</v>
      </c>
      <c r="F46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8"/>
  </cols>
  <sheetData>
    <row r="1" customFormat="false" ht="15" hidden="false" customHeight="false" outlineLevel="0" collapsed="false">
      <c r="A1" s="1" t="s">
        <v>119</v>
      </c>
      <c r="B1" s="1" t="s">
        <v>120</v>
      </c>
      <c r="C1" s="1" t="s">
        <v>121</v>
      </c>
      <c r="D1" s="1" t="s">
        <v>122</v>
      </c>
      <c r="E1" s="1" t="s">
        <v>123</v>
      </c>
    </row>
    <row r="2" customFormat="false" ht="15" hidden="false" customHeight="false" outlineLevel="0" collapsed="false">
      <c r="A2" s="2" t="s">
        <v>14</v>
      </c>
      <c r="B2" s="2" t="s">
        <v>124</v>
      </c>
      <c r="C2" s="3" t="n">
        <v>30000</v>
      </c>
      <c r="D2" s="2" t="s">
        <v>125</v>
      </c>
      <c r="E2" s="2" t="s">
        <v>72</v>
      </c>
    </row>
    <row r="3" customFormat="false" ht="15" hidden="false" customHeight="false" outlineLevel="0" collapsed="false">
      <c r="A3" s="2" t="s">
        <v>19</v>
      </c>
      <c r="B3" s="2" t="s">
        <v>126</v>
      </c>
      <c r="C3" s="3" t="n">
        <v>30000</v>
      </c>
      <c r="D3" s="2" t="s">
        <v>125</v>
      </c>
      <c r="E3" s="2" t="s">
        <v>72</v>
      </c>
    </row>
    <row r="4" customFormat="false" ht="15" hidden="false" customHeight="false" outlineLevel="0" collapsed="false">
      <c r="A4" s="2" t="s">
        <v>23</v>
      </c>
      <c r="B4" s="2" t="s">
        <v>126</v>
      </c>
      <c r="C4" s="3" t="n">
        <v>40000</v>
      </c>
      <c r="D4" s="2" t="s">
        <v>125</v>
      </c>
      <c r="E4" s="2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127</v>
      </c>
      <c r="B1" s="1" t="s">
        <v>128</v>
      </c>
    </row>
    <row r="2" customFormat="false" ht="15" hidden="false" customHeight="false" outlineLevel="0" collapsed="false">
      <c r="A2" s="2" t="s">
        <v>129</v>
      </c>
      <c r="B2" s="3" t="n">
        <v>100000</v>
      </c>
    </row>
    <row r="3" customFormat="false" ht="15" hidden="false" customHeight="false" outlineLevel="0" collapsed="false">
      <c r="A3" s="2" t="s">
        <v>130</v>
      </c>
      <c r="B3" s="6" t="n">
        <v>3</v>
      </c>
    </row>
    <row r="4" customFormat="false" ht="15" hidden="false" customHeight="false" outlineLevel="0" collapsed="false">
      <c r="A4" s="2" t="s">
        <v>131</v>
      </c>
      <c r="B4" s="7" t="n">
        <v>0.25</v>
      </c>
    </row>
    <row r="5" customFormat="false" ht="15" hidden="false" customHeight="false" outlineLevel="0" collapsed="false">
      <c r="A5" s="2" t="s">
        <v>132</v>
      </c>
      <c r="B5" s="7" t="n">
        <v>0.6</v>
      </c>
    </row>
    <row r="6" customFormat="false" ht="15" hidden="false" customHeight="false" outlineLevel="0" collapsed="false">
      <c r="A6" s="2" t="s">
        <v>133</v>
      </c>
      <c r="B6" s="3" t="n">
        <v>10000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8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6" min="6" style="0" width="12"/>
  </cols>
  <sheetData>
    <row r="1" customFormat="false" ht="24" hidden="false" customHeight="true" outlineLevel="0" collapsed="false">
      <c r="A1" s="8" t="s">
        <v>134</v>
      </c>
      <c r="B1" s="8"/>
      <c r="C1" s="8"/>
      <c r="D1" s="8"/>
    </row>
    <row r="2" customFormat="false" ht="15" hidden="false" customHeight="false" outlineLevel="0" collapsed="false">
      <c r="A2" s="1" t="s">
        <v>127</v>
      </c>
      <c r="B2" s="1" t="s">
        <v>135</v>
      </c>
      <c r="C2" s="1" t="s">
        <v>128</v>
      </c>
      <c r="D2" s="1" t="s">
        <v>8</v>
      </c>
    </row>
    <row r="3" customFormat="false" ht="15" hidden="false" customHeight="false" outlineLevel="0" collapsed="false">
      <c r="A3" s="9" t="s">
        <v>136</v>
      </c>
      <c r="B3" s="10" t="n">
        <f aca="false">COUNTA(Opportunities!A2:A41)</f>
        <v>40</v>
      </c>
      <c r="C3" s="10" t="n">
        <f aca="false">COUNTA(Opportunities!A2:A41)</f>
        <v>40</v>
      </c>
      <c r="D3" s="10"/>
    </row>
    <row r="4" customFormat="false" ht="15" hidden="false" customHeight="false" outlineLevel="0" collapsed="false">
      <c r="A4" s="9" t="s">
        <v>137</v>
      </c>
      <c r="B4" s="11" t="n">
        <f aca="false">SUMIFS(Opportunities!D2:D41,Opportunities!I2:I41,"Open")</f>
        <v>373000</v>
      </c>
      <c r="C4" s="11" t="n">
        <f aca="false">Targets!B2*Targets!B3</f>
        <v>300000</v>
      </c>
      <c r="D4" s="10" t="str">
        <f aca="false">IF(B4&gt;=C4,"On Track","At Risk")</f>
        <v>On Track</v>
      </c>
    </row>
    <row r="5" customFormat="false" ht="15" hidden="false" customHeight="false" outlineLevel="0" collapsed="false">
      <c r="A5" s="9" t="s">
        <v>9</v>
      </c>
      <c r="B5" s="11" t="n">
        <f aca="false">SUMIFS(Opportunities!J2:J41,Opportunities!I2:I41,"Open")</f>
        <v>211850</v>
      </c>
      <c r="C5" s="11" t="n">
        <f aca="false">Targets!B2</f>
        <v>100000</v>
      </c>
      <c r="D5" s="10" t="str">
        <f aca="false">IF(B5&gt;=C5,"On Track","At Risk")</f>
        <v>On Track</v>
      </c>
    </row>
    <row r="6" customFormat="false" ht="15" hidden="false" customHeight="false" outlineLevel="0" collapsed="false">
      <c r="A6" s="9" t="s">
        <v>138</v>
      </c>
      <c r="B6" s="11" t="n">
        <f aca="false">SUMIFS(Opportunities!D2:D41,Opportunities!I2:I41,"Won")</f>
        <v>52000</v>
      </c>
      <c r="C6" s="11" t="n">
        <f aca="false">Targets!B2</f>
        <v>100000</v>
      </c>
      <c r="D6" s="10" t="str">
        <f aca="false">IF(B6&gt;=C6,"On Track","At Risk")</f>
        <v>At Risk</v>
      </c>
    </row>
    <row r="7" customFormat="false" ht="15" hidden="false" customHeight="false" outlineLevel="0" collapsed="false">
      <c r="A7" s="9" t="s">
        <v>139</v>
      </c>
      <c r="B7" s="11" t="n">
        <f aca="false">SUMIFS(Opportunities!D2:D41,Opportunities!I2:I41,"Lost")</f>
        <v>17500</v>
      </c>
      <c r="C7" s="11" t="str">
        <f aca="false">""</f>
        <v/>
      </c>
      <c r="D7" s="10"/>
    </row>
    <row r="8" customFormat="false" ht="15" hidden="false" customHeight="false" outlineLevel="0" collapsed="false">
      <c r="A8" s="9" t="s">
        <v>131</v>
      </c>
      <c r="B8" s="12" t="n">
        <f aca="false">COUNTIF(Opportunities!I2:I41,"Won")/(COUNTIF(Opportunities!I2:I41,"Won")+COUNTIF(Opportunities!I2:I41,"Lost"))</f>
        <v>0.666666666666667</v>
      </c>
      <c r="C8" s="12" t="n">
        <f aca="false">Targets!B4</f>
        <v>0.25</v>
      </c>
      <c r="D8" s="10" t="str">
        <f aca="false">IF(B8&gt;=C8,"On Track","At Risk")</f>
        <v>On Track</v>
      </c>
    </row>
    <row r="9" customFormat="false" ht="15" hidden="false" customHeight="false" outlineLevel="0" collapsed="false">
      <c r="A9" s="9" t="s">
        <v>133</v>
      </c>
      <c r="B9" s="11" t="n">
        <f aca="false">AVERAGE(Opportunities!D2:D41)</f>
        <v>11062.5</v>
      </c>
      <c r="C9" s="11" t="n">
        <f aca="false">Targets!B6</f>
        <v>10000</v>
      </c>
      <c r="D9" s="10" t="str">
        <f aca="false">IF(B9&gt;=C9,"On Track","At Risk")</f>
        <v>On Track</v>
      </c>
    </row>
    <row r="10" customFormat="false" ht="15" hidden="false" customHeight="false" outlineLevel="0" collapsed="false">
      <c r="A10" s="9" t="s">
        <v>140</v>
      </c>
      <c r="B10" s="12" t="n">
        <f aca="false">COUNTIF(Leads!E2:E46,"Yes")/COUNTA(Leads!A2:A46)</f>
        <v>0.711111111111111</v>
      </c>
      <c r="C10" s="12" t="n">
        <f aca="false">Targets!B5</f>
        <v>0.6</v>
      </c>
      <c r="D10" s="10" t="str">
        <f aca="false">IF(B10&gt;=C10,"On Track","At Risk")</f>
        <v>On Track</v>
      </c>
    </row>
    <row r="11" customFormat="false" ht="15" hidden="false" customHeight="false" outlineLevel="0" collapsed="false">
      <c r="A11" s="9" t="s">
        <v>130</v>
      </c>
      <c r="B11" s="13" t="n">
        <f aca="false">B4/Targets!B2</f>
        <v>3.73</v>
      </c>
      <c r="C11" s="13" t="n">
        <f aca="false">Targets!B3</f>
        <v>3</v>
      </c>
      <c r="D11" s="10" t="str">
        <f aca="false">IF(B11&gt;=C11,"On Track","At Risk")</f>
        <v>On Track</v>
      </c>
    </row>
    <row r="14" customFormat="false" ht="15" hidden="false" customHeight="false" outlineLevel="0" collapsed="false">
      <c r="A14" s="1" t="s">
        <v>141</v>
      </c>
      <c r="B14" s="1" t="s">
        <v>142</v>
      </c>
      <c r="C14" s="1" t="s">
        <v>9</v>
      </c>
      <c r="D14" s="1" t="s">
        <v>25</v>
      </c>
      <c r="E14" s="1" t="s">
        <v>143</v>
      </c>
      <c r="F14" s="1" t="s">
        <v>131</v>
      </c>
    </row>
    <row r="15" customFormat="false" ht="15" hidden="false" customHeight="false" outlineLevel="0" collapsed="false">
      <c r="A15" s="9" t="s">
        <v>14</v>
      </c>
      <c r="B15" s="11" t="n">
        <f aca="false">SUMIFS(Opportunities!D:D,Opportunities!H:H,A15,Opportunities!I:I,"Open")</f>
        <v>110500</v>
      </c>
      <c r="C15" s="11" t="n">
        <f aca="false">SUMIFS(Opportunities!J:J,Opportunities!H:H,A15,Opportunities!I:I,"Open")</f>
        <v>57050</v>
      </c>
      <c r="D15" s="11" t="n">
        <f aca="false">SUMIFS(Opportunities!D:D,Opportunities!H:H,A15,Opportunities!I:I,"Won")</f>
        <v>33000</v>
      </c>
      <c r="E15" s="10" t="n">
        <f aca="false">COUNTIF(Opportunities!H:H,A15)</f>
        <v>14</v>
      </c>
      <c r="F15" s="12" t="n">
        <f aca="false">IFERROR(COUNTIFS(Opportunities!H:H,A15,Opportunities!I:I,"Won")/(COUNTIFS(Opportunities!H:H,A15,Opportunities!I:I,"Won")+COUNTIFS(Opportunities!H:H,A15,Opportunities!I:I,"Lost")),0)</f>
        <v>1</v>
      </c>
    </row>
    <row r="16" customFormat="false" ht="15" hidden="false" customHeight="false" outlineLevel="0" collapsed="false">
      <c r="A16" s="9" t="s">
        <v>19</v>
      </c>
      <c r="B16" s="11" t="n">
        <f aca="false">SUMIFS(Opportunities!D:D,Opportunities!H:H,A16,Opportunities!I:I,"Open")</f>
        <v>114000</v>
      </c>
      <c r="C16" s="11" t="n">
        <f aca="false">SUMIFS(Opportunities!J:J,Opportunities!H:H,A16,Opportunities!I:I,"Open")</f>
        <v>67050</v>
      </c>
      <c r="D16" s="11" t="n">
        <f aca="false">SUMIFS(Opportunities!D:D,Opportunities!H:H,A16,Opportunities!I:I,"Won")</f>
        <v>0</v>
      </c>
      <c r="E16" s="10" t="n">
        <f aca="false">COUNTIF(Opportunities!H:H,A16)</f>
        <v>13</v>
      </c>
      <c r="F16" s="12" t="n">
        <f aca="false">IFERROR(COUNTIFS(Opportunities!H:H,A16,Opportunities!I:I,"Won")/(COUNTIFS(Opportunities!H:H,A16,Opportunities!I:I,"Won")+COUNTIFS(Opportunities!H:H,A16,Opportunities!I:I,"Lost")),0)</f>
        <v>0</v>
      </c>
    </row>
    <row r="17" customFormat="false" ht="15" hidden="false" customHeight="false" outlineLevel="0" collapsed="false">
      <c r="A17" s="9" t="s">
        <v>23</v>
      </c>
      <c r="B17" s="11" t="n">
        <f aca="false">SUMIFS(Opportunities!D:D,Opportunities!H:H,A17,Opportunities!I:I,"Open")</f>
        <v>148500</v>
      </c>
      <c r="C17" s="11" t="n">
        <f aca="false">SUMIFS(Opportunities!J:J,Opportunities!H:H,A17,Opportunities!I:I,"Open")</f>
        <v>87750</v>
      </c>
      <c r="D17" s="11" t="n">
        <f aca="false">SUMIFS(Opportunities!D:D,Opportunities!H:H,A17,Opportunities!I:I,"Won")</f>
        <v>19000</v>
      </c>
      <c r="E17" s="10" t="n">
        <f aca="false">COUNTIF(Opportunities!H:H,A17)</f>
        <v>13</v>
      </c>
      <c r="F17" s="12" t="n">
        <f aca="false">IFERROR(COUNTIFS(Opportunities!H:H,A17,Opportunities!I:I,"Won")/(COUNTIFS(Opportunities!H:H,A17,Opportunities!I:I,"Won")+COUNTIFS(Opportunities!H:H,A17,Opportunities!I:I,"Lost")),0)</f>
        <v>1</v>
      </c>
    </row>
    <row r="21" customFormat="false" ht="15" hidden="false" customHeight="false" outlineLevel="0" collapsed="false">
      <c r="A21" s="1" t="s">
        <v>2</v>
      </c>
      <c r="B21" s="1" t="s">
        <v>143</v>
      </c>
      <c r="C21" s="1" t="s">
        <v>142</v>
      </c>
      <c r="D21" s="1" t="s">
        <v>9</v>
      </c>
    </row>
    <row r="22" customFormat="false" ht="15" hidden="false" customHeight="false" outlineLevel="0" collapsed="false">
      <c r="A22" s="9" t="s">
        <v>32</v>
      </c>
      <c r="B22" s="10" t="n">
        <f aca="false">COUNTIF(Opportunities!C:C,A22)</f>
        <v>7</v>
      </c>
      <c r="C22" s="11" t="n">
        <f aca="false">SUMIF(Opportunities!C:C,A22,Opportunities!D:D)</f>
        <v>42500</v>
      </c>
      <c r="D22" s="11" t="n">
        <f aca="false">SUMIF(Opportunities!C:C,A22,Opportunities!J:J)</f>
        <v>8500</v>
      </c>
    </row>
    <row r="23" customFormat="false" ht="15" hidden="false" customHeight="false" outlineLevel="0" collapsed="false">
      <c r="A23" s="9" t="s">
        <v>13</v>
      </c>
      <c r="B23" s="10" t="n">
        <f aca="false">COUNTIF(Opportunities!C:C,A23)</f>
        <v>8</v>
      </c>
      <c r="C23" s="11" t="n">
        <f aca="false">SUMIF(Opportunities!C:C,A23,Opportunities!D:D)</f>
        <v>81500</v>
      </c>
      <c r="D23" s="11" t="n">
        <f aca="false">SUMIF(Opportunities!C:C,A23,Opportunities!J:J)</f>
        <v>24450</v>
      </c>
    </row>
    <row r="24" customFormat="false" ht="15" hidden="false" customHeight="false" outlineLevel="0" collapsed="false">
      <c r="A24" s="9" t="s">
        <v>18</v>
      </c>
      <c r="B24" s="10" t="n">
        <f aca="false">COUNTIF(Opportunities!C:C,A24)</f>
        <v>8</v>
      </c>
      <c r="C24" s="11" t="n">
        <f aca="false">SUMIF(Opportunities!C:C,A24,Opportunities!D:D)</f>
        <v>101500</v>
      </c>
      <c r="D24" s="11" t="n">
        <f aca="false">SUMIF(Opportunities!C:C,A24,Opportunities!J:J)</f>
        <v>60900</v>
      </c>
    </row>
    <row r="25" customFormat="false" ht="15" hidden="false" customHeight="false" outlineLevel="0" collapsed="false">
      <c r="A25" s="9" t="s">
        <v>22</v>
      </c>
      <c r="B25" s="10" t="n">
        <f aca="false">COUNTIF(Opportunities!C:C,A25)</f>
        <v>8</v>
      </c>
      <c r="C25" s="11" t="n">
        <f aca="false">SUMIF(Opportunities!C:C,A25,Opportunities!D:D)</f>
        <v>147500</v>
      </c>
      <c r="D25" s="11" t="n">
        <f aca="false">SUMIF(Opportunities!C:C,A25,Opportunities!J:J)</f>
        <v>118000</v>
      </c>
    </row>
    <row r="26" customFormat="false" ht="15" hidden="false" customHeight="false" outlineLevel="0" collapsed="false">
      <c r="A26" s="9" t="s">
        <v>25</v>
      </c>
      <c r="B26" s="10" t="n">
        <f aca="false">COUNTIF(Opportunities!C:C,A26)</f>
        <v>6</v>
      </c>
      <c r="C26" s="11" t="n">
        <f aca="false">SUMIF(Opportunities!C:C,A26,Opportunities!D:D)</f>
        <v>52000</v>
      </c>
      <c r="D26" s="11" t="n">
        <f aca="false">SUMIF(Opportunities!C:C,A26,Opportunities!J:J)</f>
        <v>52000</v>
      </c>
    </row>
    <row r="27" customFormat="false" ht="15" hidden="false" customHeight="false" outlineLevel="0" collapsed="false">
      <c r="A27" s="9" t="s">
        <v>29</v>
      </c>
      <c r="B27" s="10" t="n">
        <f aca="false">COUNTIF(Opportunities!C:C,A27)</f>
        <v>3</v>
      </c>
      <c r="C27" s="11" t="n">
        <f aca="false">SUMIF(Opportunities!C:C,A27,Opportunities!D:D)</f>
        <v>17500</v>
      </c>
      <c r="D27" s="11" t="n">
        <f aca="false">SUMIF(Opportunities!C:C,A27,Opportunities!J:J)</f>
        <v>0</v>
      </c>
    </row>
    <row r="30" customFormat="false" ht="15" hidden="false" customHeight="false" outlineLevel="0" collapsed="false">
      <c r="A30" s="1" t="s">
        <v>1</v>
      </c>
      <c r="B30" s="1" t="s">
        <v>144</v>
      </c>
      <c r="C30" s="1" t="s">
        <v>143</v>
      </c>
      <c r="D30" s="1" t="s">
        <v>145</v>
      </c>
      <c r="E30" s="1" t="s">
        <v>142</v>
      </c>
    </row>
    <row r="31" customFormat="false" ht="15" hidden="false" customHeight="false" outlineLevel="0" collapsed="false">
      <c r="A31" s="9" t="s">
        <v>12</v>
      </c>
      <c r="B31" s="10" t="n">
        <f aca="false">COUNTIF(Leads!B:B,A31)</f>
        <v>12</v>
      </c>
      <c r="C31" s="10" t="n">
        <f aca="false">COUNTIF(Opportunities!B:B,A31)</f>
        <v>11</v>
      </c>
      <c r="D31" s="12" t="n">
        <f aca="false">IFERROR(C31/B31,0)</f>
        <v>0.916666666666667</v>
      </c>
      <c r="E31" s="11" t="n">
        <f aca="false">SUMIF(Opportunities!B:B,A31,Opportunities!D:D)</f>
        <v>99000</v>
      </c>
    </row>
    <row r="32" customFormat="false" ht="15" hidden="false" customHeight="false" outlineLevel="0" collapsed="false">
      <c r="A32" s="9" t="s">
        <v>21</v>
      </c>
      <c r="B32" s="10" t="n">
        <f aca="false">COUNTIF(Leads!B:B,A32)</f>
        <v>12</v>
      </c>
      <c r="C32" s="10" t="n">
        <f aca="false">COUNTIF(Opportunities!B:B,A32)</f>
        <v>10</v>
      </c>
      <c r="D32" s="12" t="n">
        <f aca="false">IFERROR(C32/B32,0)</f>
        <v>0.833333333333333</v>
      </c>
      <c r="E32" s="11" t="n">
        <f aca="false">SUMIF(Opportunities!B:B,A32,Opportunities!D:D)</f>
        <v>105000</v>
      </c>
    </row>
    <row r="33" customFormat="false" ht="15" hidden="false" customHeight="false" outlineLevel="0" collapsed="false">
      <c r="A33" s="9" t="s">
        <v>17</v>
      </c>
      <c r="B33" s="10" t="n">
        <f aca="false">COUNTIF(Leads!B:B,A33)</f>
        <v>12</v>
      </c>
      <c r="C33" s="10" t="n">
        <f aca="false">COUNTIF(Opportunities!B:B,A33)</f>
        <v>11</v>
      </c>
      <c r="D33" s="12" t="n">
        <f aca="false">IFERROR(C33/B33,0)</f>
        <v>0.916666666666667</v>
      </c>
      <c r="E33" s="11" t="n">
        <f aca="false">SUMIF(Opportunities!B:B,A33,Opportunities!D:D)</f>
        <v>124500</v>
      </c>
    </row>
    <row r="34" customFormat="false" ht="15" hidden="false" customHeight="false" outlineLevel="0" collapsed="false">
      <c r="A34" s="9" t="s">
        <v>28</v>
      </c>
      <c r="B34" s="10" t="n">
        <f aca="false">COUNTIF(Leads!B:B,A34)</f>
        <v>9</v>
      </c>
      <c r="C34" s="10" t="n">
        <f aca="false">COUNTIF(Opportunities!B:B,A34)</f>
        <v>8</v>
      </c>
      <c r="D34" s="12" t="n">
        <f aca="false">IFERROR(C34/B34,0)</f>
        <v>0.888888888888889</v>
      </c>
      <c r="E34" s="11" t="n">
        <f aca="false">SUMIF(Opportunities!B:B,A34,Opportunities!D:D)</f>
        <v>114000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2026-08-19T20:55:26Z</dcterms:created>
  <dc:creator>openpyxl</dc:creator>
  <dc:description/>
  <dc:language>en-US</dc:language>
  <cp:lastModifiedBy/>
  <dcterms:modified xsi:type="dcterms:W3CDTF">2026-08-19T20:55:26Z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